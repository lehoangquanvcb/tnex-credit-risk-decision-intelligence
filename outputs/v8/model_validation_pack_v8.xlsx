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e4a0bb66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274df82375214675"/>
    <x:sheet xmlns:r="http://schemas.openxmlformats.org/officeDocument/2006/relationships" name="Model Comparison" sheetId="2" r:id="Rb9f8566f2a7f4006"/>
    <x:sheet xmlns:r="http://schemas.openxmlformats.org/officeDocument/2006/relationships" name="Time Validation" sheetId="3" r:id="R9a45d0d8f83b42bd"/>
    <x:sheet xmlns:r="http://schemas.openxmlformats.org/officeDocument/2006/relationships" name="Calibration" sheetId="4" r:id="R35fe5cec29f0493d"/>
    <x:sheet xmlns:r="http://schemas.openxmlformats.org/officeDocument/2006/relationships" name="Monotonic WOE" sheetId="5" r:id="R8788583e8627491c"/>
    <x:sheet xmlns:r="http://schemas.openxmlformats.org/officeDocument/2006/relationships" name="Reject Inference" sheetId="6" r:id="R2c4c7a7614bd4fcc"/>
    <x:sheet xmlns:r="http://schemas.openxmlformats.org/officeDocument/2006/relationships" name="Fairness" sheetId="7" r:id="R5ca69d9adb574ccd"/>
    <x:sheet xmlns:r="http://schemas.openxmlformats.org/officeDocument/2006/relationships" name="Cut-off Strategy" sheetId="8" r:id="Rd41c350c05d548a2"/>
    <x:sheet xmlns:r="http://schemas.openxmlformats.org/officeDocument/2006/relationships" name="Pricing and Limits" sheetId="9" r:id="Re55776e38415417c"/>
    <x:sheet xmlns:r="http://schemas.openxmlformats.org/officeDocument/2006/relationships" name="Vintage" sheetId="10" r:id="R57eecb1a8e184d57"/>
    <x:sheet xmlns:r="http://schemas.openxmlformats.org/officeDocument/2006/relationships" name="Monitoring" sheetId="11" r:id="Rf0782af48ec34888"/>
    <x:sheet xmlns:r="http://schemas.openxmlformats.org/officeDocument/2006/relationships" name="Behavioural EWS" sheetId="12" r:id="R56ca338b0dc94d1a"/>
    <x:sheet xmlns:r="http://schemas.openxmlformats.org/officeDocument/2006/relationships" name="Overrides" sheetId="13" r:id="Re2d82b6b2cf24f37"/>
    <x:sheet xmlns:r="http://schemas.openxmlformats.org/officeDocument/2006/relationships" name="Model Registry" sheetId="14" r:id="Re8c8c54da03a4ab4"/>
    <x:sheet xmlns:r="http://schemas.openxmlformats.org/officeDocument/2006/relationships" name="Governance" sheetId="15" r:id="R5035034379964a48"/>
    <x:sheet xmlns:r="http://schemas.openxmlformats.org/officeDocument/2006/relationships" name="Bin Stability" sheetId="16" r:id="R93f79b19abca45ce"/>
    <x:sheet xmlns:r="http://schemas.openxmlformats.org/officeDocument/2006/relationships" name="Reconstruction" sheetId="17" r:id="R64ba007719964cb6"/>
    <x:sheet xmlns:r="http://schemas.openxmlformats.org/officeDocument/2006/relationships" name="Policy Controls" sheetId="18" r:id="R19738982ee11474d"/>
    <x:sheet xmlns:r="http://schemas.openxmlformats.org/officeDocument/2006/relationships" name="V5 Summary" sheetId="19" r:id="R31c62cf4d34d448c"/>
    <x:sheet xmlns:r="http://schemas.openxmlformats.org/officeDocument/2006/relationships" name="Walk Forward" sheetId="20" r:id="R64ffe5eba8674e77"/>
    <x:sheet xmlns:r="http://schemas.openxmlformats.org/officeDocument/2006/relationships" name="Strategy Simulator" sheetId="21" r:id="R1c4975e0faa94b5e"/>
    <x:sheet xmlns:r="http://schemas.openxmlformats.org/officeDocument/2006/relationships" name="Stress Test" sheetId="22" r:id="R694fc9ba9960473c"/>
    <x:sheet xmlns:r="http://schemas.openxmlformats.org/officeDocument/2006/relationships" name="Profitability" sheetId="23" r:id="Re0a3c5a67adc413f"/>
    <x:sheet xmlns:r="http://schemas.openxmlformats.org/officeDocument/2006/relationships" name="V6 Summary" sheetId="24" r:id="R5deb352ce3b047db"/>
    <x:sheet xmlns:r="http://schemas.openxmlformats.org/officeDocument/2006/relationships" name="Outcome Monitoring" sheetId="25" r:id="R97670846efb749ac"/>
    <x:sheet xmlns:r="http://schemas.openxmlformats.org/officeDocument/2006/relationships" name="IFRS9 ECL" sheetId="26" r:id="R4b6bc66a53a84ff3"/>
    <x:sheet xmlns:r="http://schemas.openxmlformats.org/officeDocument/2006/relationships" name="Deployment Controls" sheetId="27" r:id="R406b5b47d2584cf1"/>
    <x:sheet xmlns:r="http://schemas.openxmlformats.org/officeDocument/2006/relationships" name="Incident Register" sheetId="28" r:id="R3decdbd1fd1841e2"/>
    <x:sheet xmlns:r="http://schemas.openxmlformats.org/officeDocument/2006/relationships" name="V7 TNEX Summary" sheetId="29" r:id="R3e3c9f676f7240e7"/>
    <x:sheet xmlns:r="http://schemas.openxmlformats.org/officeDocument/2006/relationships" name="Product Decisioning" sheetId="30" r:id="R1e44e64b51f741b8"/>
    <x:sheet xmlns:r="http://schemas.openxmlformats.org/officeDocument/2006/relationships" name="Digital Funnel" sheetId="31" r:id="Rd3ecf7982d774155"/>
    <x:sheet xmlns:r="http://schemas.openxmlformats.org/officeDocument/2006/relationships" name="Lifecycle Controls" sheetId="32" r:id="R9dedd3905ebf41c7"/>
    <x:sheet xmlns:r="http://schemas.openxmlformats.org/officeDocument/2006/relationships" name="V8 Summary" sheetId="33" r:id="R3e161c11095b4826"/>
    <x:sheet xmlns:r="http://schemas.openxmlformats.org/officeDocument/2006/relationships" name="Strategy Optimizer" sheetId="34" r:id="R6181ef0e4d524b92"/>
    <x:sheet xmlns:r="http://schemas.openxmlformats.org/officeDocument/2006/relationships" name="Live Decisions" sheetId="35" r:id="Ra63bd427fa564972"/>
    <x:sheet xmlns:r="http://schemas.openxmlformats.org/officeDocument/2006/relationships" name="Fraud and Collections" sheetId="36" r:id="Red3c19b590d3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  <x:numFmt numFmtId="211" formatCode="&quot;VND &quot;#,##0;[Red](&quot;VND &quot;#,##0);-"/>
    <x:numFmt numFmtId="212" formatCode="0 &quot;ms&quot;"/>
  </x:numFmts>
  <x:fonts count="18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  <x:font>
      <x:b/>
      <x:sz val="15"/>
      <x:color rgb="FF123455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sz val="11"/>
      <x:color rgb="FF123455"/>
      <x:name val="Arial"/>
    </x:font>
    <x:font>
      <x:sz val="10"/>
      <x:color rgb="FF9C0006"/>
      <x:name val="Arial"/>
    </x:font>
    <x:font>
      <x:b/>
      <x:sz val="10"/>
      <x:color rgb="FF123455"/>
      <x:name val="Arial"/>
    </x:font>
    <x:font>
      <x:b/>
      <x:sz val="11"/>
      <x:color rgb="FF0000FF"/>
      <x:name val="Arial"/>
    </x:font>
    <x:font>
      <x:b/>
      <x:sz val="11"/>
      <x:color rgb="FF123455"/>
      <x:name val="Arial"/>
    </x:font>
    <x:font>
      <x:b/>
      <x:sz val="10"/>
      <x:color rgb="FF7F6000"/>
      <x:name val="Arial"/>
    </x:font>
    <x:font>
      <x:b/>
      <x:sz val="10"/>
      <x:color rgb="FF0000FF"/>
      <x:name val="Arial"/>
    </x:font>
    <x:font>
      <x:b/>
      <x:sz val="16"/>
      <x:color rgb="FF123455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  <x:border>
      <x:bottom style="thin">
        <x:color rgb="FFF2B705"/>
      </x:bottom>
    </x:border>
    <x:border>
      <x:bottom style="medium">
        <x:color rgb="FFF2B705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7" fontId="9" fillId="0" borderId="2" xfId="0" applyNumberFormat="1" applyFont="1" applyFill="1" applyBorder="1" applyAlignment="1">
      <x:alignment vertical="center"/>
    </x:xf>
    <x:xf numFmtId="211" fontId="9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7" fontId="13" fillId="8" borderId="0" xfId="0" applyNumberFormat="1" applyFont="1" applyFill="1" applyBorder="1"/>
    <x:xf numFmtId="207" fontId="13" fillId="8" borderId="0" xfId="0" applyNumberFormat="1" applyFont="1" applyFill="1" applyBorder="1" applyAlignment="1">
      <x:alignment horizontal="center"/>
    </x:xf>
    <x:xf numFmtId="207" fontId="9" fillId="0" borderId="1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11" fontId="0" fillId="0" borderId="0" xfId="0" applyNumberFormat="1" applyFont="1" applyFill="1" applyBorder="1"/>
    <x:xf numFmtId="207" fontId="0" fillId="9" borderId="0" xfId="0" applyNumberFormat="1" applyFont="1" applyFill="1" applyBorder="1"/>
    <x:xf numFmtId="211" fontId="0" fillId="9" borderId="0" xfId="0" applyNumberFormat="1" applyFont="1" applyFill="1" applyBorder="1"/>
    <x:xf numFmtId="207" fontId="14" fillId="9" borderId="0" xfId="0" applyNumberFormat="1" applyFont="1" applyFill="1" applyBorder="1"/>
    <x:xf numFmtId="211" fontId="14" fillId="9" borderId="0" xfId="0" applyNumberFormat="1" applyFont="1" applyFill="1" applyBorder="1"/>
    <x:xf numFmtId="207" fontId="14" fillId="9" borderId="0" xfId="0" applyNumberFormat="1" applyFont="1" applyFill="1" applyBorder="1" applyAlignment="1">
      <x:alignment horizontal="center"/>
    </x:xf>
    <x:xf numFmtId="211" fontId="1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center"/>
    </x:xf>
    <x:xf numFmtId="0" fontId="9" fillId="13" borderId="2" xfId="0" applyNumberFormat="1" applyFont="1" applyFill="1" applyBorder="1" applyAlignment="1">
      <x:alignment vertical="center"/>
    </x:xf>
    <x:xf numFmtId="0" fontId="9" fillId="13" borderId="4" xfId="0" applyNumberFormat="1" applyFont="1" applyFill="1" applyBorder="1" applyAlignment="1">
      <x:alignment vertical="center"/>
    </x:xf>
    <x:xf numFmtId="0" fontId="16" fillId="13" borderId="1" xfId="0" applyNumberFormat="1" applyFont="1" applyFill="1" applyBorder="1" applyAlignment="1">
      <x:alignment vertical="center"/>
    </x:xf>
    <x:xf numFmtId="0" fontId="16" fillId="13" borderId="2" xfId="0" applyNumberFormat="1" applyFont="1" applyFill="1" applyBorder="1" applyAlignment="1">
      <x:alignment vertical="center"/>
    </x:xf>
    <x:xf numFmtId="0" fontId="16" fillId="13" borderId="4" xfId="0" applyNumberFormat="1" applyFont="1" applyFill="1" applyBorder="1" applyAlignment="1">
      <x:alignment vertical="center"/>
    </x:xf>
    <x:xf numFmtId="207" fontId="16" fillId="13" borderId="1" xfId="0" applyNumberFormat="1" applyFont="1" applyFill="1" applyBorder="1" applyAlignment="1">
      <x:alignment vertical="center"/>
    </x:xf>
    <x:xf numFmtId="207" fontId="16" fillId="13" borderId="2" xfId="0" applyNumberFormat="1" applyFont="1" applyFill="1" applyBorder="1" applyAlignment="1">
      <x:alignment vertical="center"/>
    </x:xf>
    <x:xf numFmtId="207" fontId="16" fillId="13" borderId="4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4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207" fontId="9" fillId="0" borderId="2" xfId="0" applyNumberFormat="1" applyFont="1" applyFill="1" applyBorder="1" applyAlignment="1">
      <x:alignment vertical="center" wrapText="1"/>
    </x:xf>
    <x:xf numFmtId="212" fontId="9" fillId="0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211" fontId="9" fillId="0" borderId="1" xfId="0" applyNumberFormat="1" applyFont="1" applyFill="1" applyBorder="1" applyAlignment="1">
      <x:alignment vertical="center" wrapText="1"/>
    </x:xf>
    <x:xf numFmtId="211" fontId="9" fillId="0" borderId="2" xfId="0" applyNumberFormat="1" applyFont="1" applyFill="1" applyBorder="1" applyAlignment="1">
      <x:alignment vertical="center" wrapText="1"/>
    </x:xf>
    <x:xf numFmtId="211" fontId="9" fillId="0" borderId="4" xfId="0" applyNumberFormat="1" applyFont="1" applyFill="1" applyBorder="1" applyAlignment="1">
      <x:alignment vertical="center" wrapText="1"/>
    </x:xf>
    <x:xf numFmtId="207" fontId="9" fillId="0" borderId="1" xfId="0" applyNumberFormat="1" applyFont="1" applyFill="1" applyBorder="1" applyAlignment="1">
      <x:alignment vertical="center" wrapText="1"/>
    </x:xf>
    <x:xf numFmtId="207" fontId="9" fillId="0" borderId="4" xfId="0" applyNumberFormat="1" applyFont="1" applyFill="1" applyBorder="1" applyAlignment="1">
      <x:alignment vertical="center" wrapText="1"/>
    </x:xf>
    <x:xf numFmtId="212" fontId="9" fillId="0" borderId="1" xfId="0" applyNumberFormat="1" applyFont="1" applyFill="1" applyBorder="1" applyAlignment="1">
      <x:alignment vertical="center" wrapText="1"/>
    </x:xf>
    <x:xf numFmtId="212" fontId="9" fillId="0" borderId="4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wrapText="1"/>
    </x:xf>
    <x:xf numFmtId="0" fontId="1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6" fillId="21" borderId="0" xfId="0" applyNumberFormat="1" applyFont="1" applyFill="1" applyBorder="1"/>
    <x:xf numFmtId="207" fontId="16" fillId="21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8cbbad7c34191" /><Relationship Type="http://schemas.openxmlformats.org/officeDocument/2006/relationships/theme" Target="/xl/theme/theme1.xml" Id="Re25e6b37eb4144a7" /><Relationship Type="http://schemas.microsoft.com/office/2022/11/relationships/FeaturePropertyBag" Target="/xl/featurePropertyBag/featurePropertyBag.xml" Id="R8cb21c4ce4bd4b2e" /><Relationship Type="http://schemas.openxmlformats.org/officeDocument/2006/relationships/sharedStrings" Target="/xl/sharedStrings.xml" Id="Re39b9c5f33e74931" /><Relationship Type="http://schemas.openxmlformats.org/officeDocument/2006/relationships/worksheet" Target="/xl/worksheets/sheet1.xml" Id="R274df82375214675" /><Relationship Type="http://schemas.openxmlformats.org/officeDocument/2006/relationships/worksheet" Target="/xl/worksheets/sheet2.xml" Id="Rb9f8566f2a7f4006" /><Relationship Type="http://schemas.openxmlformats.org/officeDocument/2006/relationships/worksheet" Target="/xl/worksheets/sheet3.xml" Id="R9a45d0d8f83b42bd" /><Relationship Type="http://schemas.openxmlformats.org/officeDocument/2006/relationships/worksheet" Target="/xl/worksheets/sheet4.xml" Id="R35fe5cec29f0493d" /><Relationship Type="http://schemas.openxmlformats.org/officeDocument/2006/relationships/worksheet" Target="/xl/worksheets/sheet5.xml" Id="R8788583e8627491c" /><Relationship Type="http://schemas.openxmlformats.org/officeDocument/2006/relationships/worksheet" Target="/xl/worksheets/sheet6.xml" Id="R2c4c7a7614bd4fcc" /><Relationship Type="http://schemas.openxmlformats.org/officeDocument/2006/relationships/worksheet" Target="/xl/worksheets/sheet7.xml" Id="R5ca69d9adb574ccd" /><Relationship Type="http://schemas.openxmlformats.org/officeDocument/2006/relationships/worksheet" Target="/xl/worksheets/sheet8.xml" Id="Rd41c350c05d548a2" /><Relationship Type="http://schemas.openxmlformats.org/officeDocument/2006/relationships/worksheet" Target="/xl/worksheets/sheet9.xml" Id="Re55776e38415417c" /><Relationship Type="http://schemas.openxmlformats.org/officeDocument/2006/relationships/worksheet" Target="/xl/worksheets/sheet10.xml" Id="R57eecb1a8e184d57" /><Relationship Type="http://schemas.openxmlformats.org/officeDocument/2006/relationships/worksheet" Target="/xl/worksheets/sheet11.xml" Id="Rf0782af48ec34888" /><Relationship Type="http://schemas.openxmlformats.org/officeDocument/2006/relationships/worksheet" Target="/xl/worksheets/sheet12.xml" Id="R56ca338b0dc94d1a" /><Relationship Type="http://schemas.openxmlformats.org/officeDocument/2006/relationships/worksheet" Target="/xl/worksheets/sheet13.xml" Id="Re2d82b6b2cf24f37" /><Relationship Type="http://schemas.openxmlformats.org/officeDocument/2006/relationships/worksheet" Target="/xl/worksheets/sheet14.xml" Id="Re8c8c54da03a4ab4" /><Relationship Type="http://schemas.openxmlformats.org/officeDocument/2006/relationships/worksheet" Target="/xl/worksheets/sheet15.xml" Id="R5035034379964a48" /><Relationship Type="http://schemas.openxmlformats.org/officeDocument/2006/relationships/worksheet" Target="/xl/worksheets/sheet16.xml" Id="R93f79b19abca45ce" /><Relationship Type="http://schemas.openxmlformats.org/officeDocument/2006/relationships/worksheet" Target="/xl/worksheets/sheet17.xml" Id="R64ba007719964cb6" /><Relationship Type="http://schemas.openxmlformats.org/officeDocument/2006/relationships/worksheet" Target="/xl/worksheets/sheet18.xml" Id="R19738982ee11474d" /><Relationship Type="http://schemas.openxmlformats.org/officeDocument/2006/relationships/worksheet" Target="/xl/worksheets/sheet19.xml" Id="R31c62cf4d34d448c" /><Relationship Type="http://schemas.openxmlformats.org/officeDocument/2006/relationships/worksheet" Target="/xl/worksheets/sheet20.xml" Id="R64ffe5eba8674e77" /><Relationship Type="http://schemas.openxmlformats.org/officeDocument/2006/relationships/worksheet" Target="/xl/worksheets/sheet21.xml" Id="R1c4975e0faa94b5e" /><Relationship Type="http://schemas.openxmlformats.org/officeDocument/2006/relationships/worksheet" Target="/xl/worksheets/sheet22.xml" Id="R694fc9ba9960473c" /><Relationship Type="http://schemas.openxmlformats.org/officeDocument/2006/relationships/worksheet" Target="/xl/worksheets/sheet23.xml" Id="Re0a3c5a67adc413f" /><Relationship Type="http://schemas.openxmlformats.org/officeDocument/2006/relationships/worksheet" Target="/xl/worksheets/sheet24.xml" Id="R5deb352ce3b047db" /><Relationship Type="http://schemas.openxmlformats.org/officeDocument/2006/relationships/worksheet" Target="/xl/worksheets/sheet25.xml" Id="R97670846efb749ac" /><Relationship Type="http://schemas.openxmlformats.org/officeDocument/2006/relationships/worksheet" Target="/xl/worksheets/sheet26.xml" Id="R4b6bc66a53a84ff3" /><Relationship Type="http://schemas.openxmlformats.org/officeDocument/2006/relationships/worksheet" Target="/xl/worksheets/sheet27.xml" Id="R406b5b47d2584cf1" /><Relationship Type="http://schemas.openxmlformats.org/officeDocument/2006/relationships/worksheet" Target="/xl/worksheets/sheet28.xml" Id="R3decdbd1fd1841e2" /><Relationship Type="http://schemas.openxmlformats.org/officeDocument/2006/relationships/worksheet" Target="/xl/worksheets/sheet29.xml" Id="R3e3c9f676f7240e7" /><Relationship Type="http://schemas.openxmlformats.org/officeDocument/2006/relationships/worksheet" Target="/xl/worksheets/sheet30.xml" Id="R1e44e64b51f741b8" /><Relationship Type="http://schemas.openxmlformats.org/officeDocument/2006/relationships/worksheet" Target="/xl/worksheets/sheet31.xml" Id="Rd3ecf7982d774155" /><Relationship Type="http://schemas.openxmlformats.org/officeDocument/2006/relationships/worksheet" Target="/xl/worksheets/sheet32.xml" Id="R9dedd3905ebf41c7" /><Relationship Type="http://schemas.openxmlformats.org/officeDocument/2006/relationships/worksheet" Target="/xl/worksheets/sheet33.xml" Id="R3e161c11095b4826" /><Relationship Type="http://schemas.openxmlformats.org/officeDocument/2006/relationships/worksheet" Target="/xl/worksheets/sheet34.xml" Id="R6181ef0e4d524b92" /><Relationship Type="http://schemas.openxmlformats.org/officeDocument/2006/relationships/worksheet" Target="/xl/worksheets/sheet35.xml" Id="Ra63bd427fa564972" /><Relationship Type="http://schemas.openxmlformats.org/officeDocument/2006/relationships/worksheet" Target="/xl/worksheets/sheet36.xml" Id="Red3c19b590d341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c0b9617b4941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c0b9617b49417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47a2810b70e48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947a2810b70e4805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6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5" customHeight="1">
      <x:c r="A2" s="88" t="str">
        <x:v>V5 Decision &amp; Profitability Summary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Walk-forward validation, portfolio economics, stress testing and policy simulation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Metric</x:v>
      </x:c>
      <x:c r="B6" s="95" t="str">
        <x:v>Result</x:v>
      </x:c>
      <x:c r="D6" s="95" t="str">
        <x:v>Management conclusion</x:v>
      </x:c>
    </x:row>
    <x:row r="7" ht="82" customHeight="1">
      <x:c r="A7" s="98" t="str">
        <x:v>Build</x:v>
      </x:c>
      <x:c r="B7" s="98" t="str">
        <x:v>V5.0</x:v>
      </x:c>
      <x:c r="D7" s="107" t="str">
        <x:v>The WOE logistic model remains the champion because the challenger does not deliver the required 0.02 mean-AUC uplift. The simulated candidate strategy increases controlled approvals while keeping observed bad rate below 10%. Severe-stress profitability remains positive in the synthetic portfolio.</x:v>
      </x:c>
    </x:row>
    <x:row r="8">
      <x:c r="A8" s="99" t="str">
        <x:v>Validation status</x:v>
      </x:c>
      <x:c r="B8" s="99" t="str">
        <x:v>PASS</x:v>
      </x:c>
    </x:row>
    <x:row r="9">
      <x:c r="A9" s="99" t="str">
        <x:v>Champion mean AUC</x:v>
      </x:c>
      <x:c r="B9" s="101" t="n">
        <x:v>0.6786611211719855</x:v>
      </x:c>
    </x:row>
    <x:row r="10">
      <x:c r="A10" s="99" t="str">
        <x:v>Challenger mean AUC</x:v>
      </x:c>
      <x:c r="B10" s="101" t="n">
        <x:v>0.6693159031999618</x:v>
      </x:c>
    </x:row>
    <x:row r="11">
      <x:c r="A11" s="99" t="str">
        <x:v>Challenger decision</x:v>
      </x:c>
      <x:c r="B11" s="99" t="str">
        <x:v>RETAIN CHAMPION</x:v>
      </x:c>
    </x:row>
    <x:row r="12">
      <x:c r="A12" s="99" t="str">
        <x:v>Recommended approve PD max</x:v>
      </x:c>
      <x:c r="B12" s="102" t="n">
        <x:v>0.13</x:v>
      </x:c>
    </x:row>
    <x:row r="13" ht="30" customHeight="1">
      <x:c r="A13" s="99" t="str">
        <x:v>Recommended review PD max</x:v>
      </x:c>
      <x:c r="B13" s="102" t="n">
        <x:v>0.17</x:v>
      </x:c>
      <x:c r="D13" s="95" t="str">
        <x:v>Required before real deployment</x:v>
      </x:c>
    </x:row>
    <x:row r="14" ht="72" customHeight="1">
      <x:c r="A14" s="99" t="str">
        <x:v>Approval rate</x:v>
      </x:c>
      <x:c r="B14" s="102" t="n">
        <x:v>0.5745833333333333</x:v>
      </x:c>
      <x:c r="D14" s="111" t="str">
        <x:v>Validate on bank data; approve assumptions and cut-offs through Credit Committee; connect managed identity and database services; complete pilot, concurrency, security and penetration tests.</x:v>
      </x:c>
    </x:row>
    <x:row r="15">
      <x:c r="A15" s="99" t="str">
        <x:v>Observed bad rate</x:v>
      </x:c>
      <x:c r="B15" s="102" t="n">
        <x:v>0.0775924583031182</x:v>
      </x:c>
    </x:row>
    <x:row r="16">
      <x:c r="A16" s="100" t="str">
        <x:v>Expected profit</x:v>
      </x:c>
      <x:c r="B16" s="103" t="n">
        <x:v>8782580131.857252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5" customHeight="1">
      <x:c r="A2" s="88" t="str">
        <x:v>Chronological Walk-Forward Validation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Four expanding training windows; champion and challenger tested on the next unseen period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Fold</x:v>
      </x:c>
      <x:c r="B6" s="95" t="str">
        <x:v>Model</x:v>
      </x:c>
      <x:c r="C6" s="95" t="str">
        <x:v>Train end</x:v>
      </x:c>
      <x:c r="D6" s="95" t="str">
        <x:v>Test start</x:v>
      </x:c>
      <x:c r="E6" s="95" t="str">
        <x:v>Test end</x:v>
      </x:c>
      <x:c r="F6" s="95" t="str">
        <x:v>Applications</x:v>
      </x:c>
      <x:c r="G6" s="95" t="str">
        <x:v>AUC</x:v>
      </x:c>
      <x:c r="H6" s="95" t="str">
        <x:v>Gini</x:v>
      </x:c>
      <x:c r="I6" s="95" t="str">
        <x:v>KS</x:v>
      </x:c>
      <x:c r="J6" s="95" t="str">
        <x:v>Brier</x:v>
      </x:c>
    </x:row>
    <x:row r="7">
      <x:c r="A7" s="98" t="str">
        <x:v>Fold 1</x:v>
      </x:c>
      <x:c r="B7" s="98" t="str">
        <x:v>WOE logistic champion</x:v>
      </x:c>
      <x:c r="C7" s="98" t="str">
        <x:v>2024-08-12</x:v>
      </x:c>
      <x:c r="D7" s="98" t="str">
        <x:v>2024-08-13</x:v>
      </x:c>
      <x:c r="E7" s="98" t="str">
        <x:v>2024-10-16</x:v>
      </x:c>
      <x:c r="F7" s="98" t="n">
        <x:v>1559</x:v>
      </x:c>
      <x:c r="G7" s="112" t="n">
        <x:v>0.6851640179075169</x:v>
      </x:c>
      <x:c r="H7" s="112" t="n">
        <x:v>0.3703280358150338</x:v>
      </x:c>
      <x:c r="I7" s="112" t="n">
        <x:v>0.3018376453520321</x:v>
      </x:c>
      <x:c r="J7" s="112" t="n">
        <x:v>0.1064890840134878</x:v>
      </x:c>
    </x:row>
    <x:row r="8">
      <x:c r="A8" s="99" t="str">
        <x:v>Fold 1</x:v>
      </x:c>
      <x:c r="B8" s="99" t="str">
        <x:v>Gradient boosting challenger</x:v>
      </x:c>
      <x:c r="C8" s="99" t="str">
        <x:v>2024-08-12</x:v>
      </x:c>
      <x:c r="D8" s="99" t="str">
        <x:v>2024-08-13</x:v>
      </x:c>
      <x:c r="E8" s="99" t="str">
        <x:v>2024-10-16</x:v>
      </x:c>
      <x:c r="F8" s="99" t="n">
        <x:v>1559</x:v>
      </x:c>
      <x:c r="G8" s="101" t="n">
        <x:v>0.6613105312905283</x:v>
      </x:c>
      <x:c r="H8" s="101" t="n">
        <x:v>0.3226210625810566</x:v>
      </x:c>
      <x:c r="I8" s="101" t="n">
        <x:v>0.25273118941375594</x:v>
      </x:c>
      <x:c r="J8" s="101" t="n">
        <x:v>0.10923753489050173</x:v>
      </x:c>
    </x:row>
    <x:row r="9">
      <x:c r="A9" s="99" t="str">
        <x:v>Fold 2</x:v>
      </x:c>
      <x:c r="B9" s="99" t="str">
        <x:v>WOE logistic champion</x:v>
      </x:c>
      <x:c r="C9" s="99" t="str">
        <x:v>2024-10-16</x:v>
      </x:c>
      <x:c r="D9" s="99" t="str">
        <x:v>2024-10-16</x:v>
      </x:c>
      <x:c r="E9" s="99" t="str">
        <x:v>2024-12-20</x:v>
      </x:c>
      <x:c r="F9" s="99" t="n">
        <x:v>1561</x:v>
      </x:c>
      <x:c r="G9" s="101" t="n">
        <x:v>0.6665893229728758</x:v>
      </x:c>
      <x:c r="H9" s="101" t="n">
        <x:v>0.33317864594575153</x:v>
      </x:c>
      <x:c r="I9" s="101" t="n">
        <x:v>0.26239657529318655</x:v>
      </x:c>
      <x:c r="J9" s="101" t="n">
        <x:v>0.10946518319463668</x:v>
      </x:c>
    </x:row>
    <x:row r="10">
      <x:c r="A10" s="99" t="str">
        <x:v>Fold 2</x:v>
      </x:c>
      <x:c r="B10" s="99" t="str">
        <x:v>Gradient boosting challenger</x:v>
      </x:c>
      <x:c r="C10" s="99" t="str">
        <x:v>2024-10-16</x:v>
      </x:c>
      <x:c r="D10" s="99" t="str">
        <x:v>2024-10-16</x:v>
      </x:c>
      <x:c r="E10" s="99" t="str">
        <x:v>2024-12-20</x:v>
      </x:c>
      <x:c r="F10" s="99" t="n">
        <x:v>1561</x:v>
      </x:c>
      <x:c r="G10" s="101" t="n">
        <x:v>0.6524749982013095</x:v>
      </x:c>
      <x:c r="H10" s="101" t="n">
        <x:v>0.304949996402619</x:v>
      </x:c>
      <x:c r="I10" s="101" t="n">
        <x:v>0.24696381034606807</x:v>
      </x:c>
      <x:c r="J10" s="101" t="n">
        <x:v>0.11021896084662673</x:v>
      </x:c>
    </x:row>
    <x:row r="11">
      <x:c r="A11" s="99" t="str">
        <x:v>Fold 3</x:v>
      </x:c>
      <x:c r="B11" s="99" t="str">
        <x:v>WOE logistic champion</x:v>
      </x:c>
      <x:c r="C11" s="99" t="str">
        <x:v>2024-12-20</x:v>
      </x:c>
      <x:c r="D11" s="99" t="str">
        <x:v>2024-12-21</x:v>
      </x:c>
      <x:c r="E11" s="99" t="str">
        <x:v>2025-02-23</x:v>
      </x:c>
      <x:c r="F11" s="99" t="n">
        <x:v>1560</x:v>
      </x:c>
      <x:c r="G11" s="101" t="n">
        <x:v>0.6827336830063855</x:v>
      </x:c>
      <x:c r="H11" s="101" t="n">
        <x:v>0.36546736601277097</x:v>
      </x:c>
      <x:c r="I11" s="101" t="n">
        <x:v>0.2865430179310735</x:v>
      </x:c>
      <x:c r="J11" s="101" t="n">
        <x:v>0.10867185669486999</x:v>
      </x:c>
    </x:row>
    <x:row r="12">
      <x:c r="A12" s="99" t="str">
        <x:v>Fold 3</x:v>
      </x:c>
      <x:c r="B12" s="99" t="str">
        <x:v>Gradient boosting challenger</x:v>
      </x:c>
      <x:c r="C12" s="99" t="str">
        <x:v>2024-12-20</x:v>
      </x:c>
      <x:c r="D12" s="99" t="str">
        <x:v>2024-12-21</x:v>
      </x:c>
      <x:c r="E12" s="99" t="str">
        <x:v>2025-02-23</x:v>
      </x:c>
      <x:c r="F12" s="99" t="n">
        <x:v>1560</x:v>
      </x:c>
      <x:c r="G12" s="101" t="n">
        <x:v>0.6781862805860623</x:v>
      </x:c>
      <x:c r="H12" s="101" t="n">
        <x:v>0.3563725611721247</x:v>
      </x:c>
      <x:c r="I12" s="101" t="n">
        <x:v>0.2653961800403033</x:v>
      </x:c>
      <x:c r="J12" s="101" t="n">
        <x:v>0.11029760033349177</x:v>
      </x:c>
    </x:row>
    <x:row r="13">
      <x:c r="A13" s="99" t="str">
        <x:v>Fold 4</x:v>
      </x:c>
      <x:c r="B13" s="99" t="str">
        <x:v>WOE logistic champion</x:v>
      </x:c>
      <x:c r="C13" s="99" t="str">
        <x:v>2025-02-23</x:v>
      </x:c>
      <x:c r="D13" s="99" t="str">
        <x:v>2025-02-24</x:v>
      </x:c>
      <x:c r="E13" s="99" t="str">
        <x:v>2025-05-14</x:v>
      </x:c>
      <x:c r="F13" s="99" t="n">
        <x:v>1920</x:v>
      </x:c>
      <x:c r="G13" s="101" t="n">
        <x:v>0.6801574608011639</x:v>
      </x:c>
      <x:c r="H13" s="101" t="n">
        <x:v>0.3603149216023278</x:v>
      </x:c>
      <x:c r="I13" s="101" t="n">
        <x:v>0.29285827380556273</x:v>
      </x:c>
      <x:c r="J13" s="101" t="n">
        <x:v>0.11204268449159385</x:v>
      </x:c>
    </x:row>
    <x:row r="14">
      <x:c r="A14" s="100" t="str">
        <x:v>Fold 4</x:v>
      </x:c>
      <x:c r="B14" s="100" t="str">
        <x:v>Gradient boosting challenger</x:v>
      </x:c>
      <x:c r="C14" s="100" t="str">
        <x:v>2025-02-23</x:v>
      </x:c>
      <x:c r="D14" s="100" t="str">
        <x:v>2025-02-24</x:v>
      </x:c>
      <x:c r="E14" s="100" t="str">
        <x:v>2025-05-14</x:v>
      </x:c>
      <x:c r="F14" s="100" t="n">
        <x:v>1920</x:v>
      </x:c>
      <x:c r="G14" s="113" t="n">
        <x:v>0.685291802721947</x:v>
      </x:c>
      <x:c r="H14" s="113" t="n">
        <x:v>0.370583605443894</x:v>
      </x:c>
      <x:c r="I14" s="113" t="n">
        <x:v>0.2788653276455917</x:v>
      </x:c>
      <x:c r="J14" s="113" t="n">
        <x:v>0.11156906649161534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</x:cols>
  <x:sheetData>
    <x:row r="2" ht="25" customHeight="1">
      <x:c r="A2" s="88" t="str">
        <x:v>Decision Strategy Simulator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Edit the blue cells to test approval and review cut-offs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5" ht="30" customHeight="1">
      <x:c r="A5" s="115" t="str">
        <x:v>Approve PD max</x:v>
      </x:c>
      <x:c r="B5" s="119" t="n">
        <x:v>0.1</x:v>
      </x:c>
      <x:c r="D5" s="95" t="str">
        <x:v>Approval rate</x:v>
      </x:c>
      <x:c r="E5" s="95" t="str">
        <x:v>Review rate</x:v>
      </x:c>
      <x:c r="F5" s="95" t="str">
        <x:v>Observed bad rate</x:v>
      </x:c>
      <x:c r="G5" s="95" t="str">
        <x:v>Expected profit</x:v>
      </x:c>
      <x:c r="H5" s="95" t="str">
        <x:v>RAROC</x:v>
      </x:c>
    </x:row>
    <x:row r="6">
      <x:c r="A6" s="115" t="str">
        <x:v>Review PD max</x:v>
      </x:c>
      <x:c r="B6" s="119" t="n">
        <x:v>0.18</x:v>
      </x:c>
      <x:c r="D6" s="130" t="n">
        <x:f>SUMIFS($C$11:$C$48,$A$11:$A$48,$B$5,$B$11:$B$48,$B$6)</x:f>
        <x:v>0.41583333333333333</x:v>
      </x:c>
      <x:c r="E6" s="130" t="n">
        <x:f>SUMIFS($D$11:$D$48,$A$11:$A$48,$B$5,$B$11:$B$48,$B$6)</x:f>
        <x:v>0.3545833333333333</x:v>
      </x:c>
      <x:c r="F6" s="130" t="n">
        <x:f>SUMIFS($E$11:$E$48,$A$11:$A$48,$B$5,$B$11:$B$48,$B$6)</x:f>
        <x:v>0.06513026052104208</x:v>
      </x:c>
      <x:c r="G6" s="131" t="n">
        <x:f>SUMIFS($I$11:$I$48,$A$11:$A$48,$B$5,$B$11:$B$48,$B$6)</x:f>
        <x:v>5577051858.33867</x:v>
      </x:c>
      <x:c r="H6" s="130" t="n">
        <x:f>SUMIFS($J$11:$J$48,$A$11:$A$48,$B$5,$B$11:$B$48,$B$6)</x:f>
        <x:v>1.1495028199678208</x:v>
      </x:c>
    </x:row>
    <x:row r="10" ht="30" customHeight="1">
      <x:c r="A10" s="95" t="str">
        <x:v>Approve PD max</x:v>
      </x:c>
      <x:c r="B10" s="95" t="str">
        <x:v>Review PD max</x:v>
      </x:c>
      <x:c r="C10" s="95" t="str">
        <x:v>Approval rate</x:v>
      </x:c>
      <x:c r="D10" s="95" t="str">
        <x:v>Review rate</x:v>
      </x:c>
      <x:c r="E10" s="95" t="str">
        <x:v>Observed bad rate</x:v>
      </x:c>
      <x:c r="F10" s="95" t="str">
        <x:v>Mean PD</x:v>
      </x:c>
      <x:c r="G10" s="95" t="str">
        <x:v>Total EAD</x:v>
      </x:c>
      <x:c r="H10" s="95" t="str">
        <x:v>Expected loss</x:v>
      </x:c>
      <x:c r="I10" s="95" t="str">
        <x:v>Expected profit</x:v>
      </x:c>
      <x:c r="J10" s="95" t="str">
        <x:v>RAROC</x:v>
      </x:c>
    </x:row>
    <x:row r="11">
      <x:c r="A11" s="120" t="n">
        <x:v>0.06</x:v>
      </x:c>
      <x:c r="B11" s="120" t="n">
        <x:v>0.14</x:v>
      </x:c>
      <x:c r="C11" s="120" t="n">
        <x:v>0.16416666666666666</x:v>
      </x:c>
      <x:c r="D11" s="120" t="n">
        <x:v>0.46</x:v>
      </x:c>
      <x:c r="E11" s="120" t="n">
        <x:v>0.048223350253807105</x:v>
      </x:c>
      <x:c r="F11" s="120" t="n">
        <x:v>0.044902810022063054</x:v>
      </x:c>
      <x:c r="G11" s="122" t="n">
        <x:v>17048881233</x:v>
      </x:c>
      <x:c r="H11" s="122" t="n">
        <x:v>507369630.59048384</x:v>
      </x:c>
      <x:c r="I11" s="122" t="n">
        <x:v>1997746798.037016</x:v>
      </x:c>
      <x:c r="J11" s="120" t="n">
        <x:v>1.1717758900039466</x:v>
      </x:c>
    </x:row>
    <x:row r="12">
      <x:c r="A12" s="102" t="n">
        <x:v>0.06</x:v>
      </x:c>
      <x:c r="B12" s="102" t="n">
        <x:v>0.16</x:v>
      </x:c>
      <x:c r="C12" s="102" t="n">
        <x:v>0.16416666666666666</x:v>
      </x:c>
      <x:c r="D12" s="102" t="n">
        <x:v>0.5379166666666667</x:v>
      </x:c>
      <x:c r="E12" s="102" t="n">
        <x:v>0.048223350253807105</x:v>
      </x:c>
      <x:c r="F12" s="102" t="n">
        <x:v>0.044902810022063054</x:v>
      </x:c>
      <x:c r="G12" s="123" t="n">
        <x:v>17048881233</x:v>
      </x:c>
      <x:c r="H12" s="123" t="n">
        <x:v>507369630.59048384</x:v>
      </x:c>
      <x:c r="I12" s="123" t="n">
        <x:v>1997746798.037016</x:v>
      </x:c>
      <x:c r="J12" s="102" t="n">
        <x:v>1.1717758900039466</x:v>
      </x:c>
    </x:row>
    <x:row r="13">
      <x:c r="A13" s="102" t="n">
        <x:v>0.06</x:v>
      </x:c>
      <x:c r="B13" s="102" t="n">
        <x:v>0.18</x:v>
      </x:c>
      <x:c r="C13" s="102" t="n">
        <x:v>0.16416666666666666</x:v>
      </x:c>
      <x:c r="D13" s="102" t="n">
        <x:v>0.60625</x:v>
      </x:c>
      <x:c r="E13" s="102" t="n">
        <x:v>0.048223350253807105</x:v>
      </x:c>
      <x:c r="F13" s="102" t="n">
        <x:v>0.044902810022063054</x:v>
      </x:c>
      <x:c r="G13" s="123" t="n">
        <x:v>17048881233</x:v>
      </x:c>
      <x:c r="H13" s="123" t="n">
        <x:v>507369630.59048384</x:v>
      </x:c>
      <x:c r="I13" s="123" t="n">
        <x:v>1997746798.037016</x:v>
      </x:c>
      <x:c r="J13" s="102" t="n">
        <x:v>1.1717758900039466</x:v>
      </x:c>
    </x:row>
    <x:row r="14">
      <x:c r="A14" s="102" t="n">
        <x:v>0.06</x:v>
      </x:c>
      <x:c r="B14" s="102" t="n">
        <x:v>0.2</x:v>
      </x:c>
      <x:c r="C14" s="102" t="n">
        <x:v>0.16416666666666666</x:v>
      </x:c>
      <x:c r="D14" s="102" t="n">
        <x:v>0.6666666666666666</x:v>
      </x:c>
      <x:c r="E14" s="102" t="n">
        <x:v>0.048223350253807105</x:v>
      </x:c>
      <x:c r="F14" s="102" t="n">
        <x:v>0.044902810022063054</x:v>
      </x:c>
      <x:c r="G14" s="123" t="n">
        <x:v>17048881233</x:v>
      </x:c>
      <x:c r="H14" s="123" t="n">
        <x:v>507369630.59048384</x:v>
      </x:c>
      <x:c r="I14" s="123" t="n">
        <x:v>1997746798.037016</x:v>
      </x:c>
      <x:c r="J14" s="102" t="n">
        <x:v>1.1717758900039466</x:v>
      </x:c>
    </x:row>
    <x:row r="15">
      <x:c r="A15" s="102" t="n">
        <x:v>0.06</x:v>
      </x:c>
      <x:c r="B15" s="102" t="n">
        <x:v>0.22</x:v>
      </x:c>
      <x:c r="C15" s="102" t="n">
        <x:v>0.16416666666666666</x:v>
      </x:c>
      <x:c r="D15" s="102" t="n">
        <x:v>0.70375</x:v>
      </x:c>
      <x:c r="E15" s="102" t="n">
        <x:v>0.048223350253807105</x:v>
      </x:c>
      <x:c r="F15" s="102" t="n">
        <x:v>0.044902810022063054</x:v>
      </x:c>
      <x:c r="G15" s="123" t="n">
        <x:v>17048881233</x:v>
      </x:c>
      <x:c r="H15" s="123" t="n">
        <x:v>507369630.59048384</x:v>
      </x:c>
      <x:c r="I15" s="123" t="n">
        <x:v>1997746798.037016</x:v>
      </x:c>
      <x:c r="J15" s="102" t="n">
        <x:v>1.1717758900039466</x:v>
      </x:c>
    </x:row>
    <x:row r="16">
      <x:c r="A16" s="102" t="n">
        <x:v>0.07</x:v>
      </x:c>
      <x:c r="B16" s="102" t="n">
        <x:v>0.14</x:v>
      </x:c>
      <x:c r="C16" s="102" t="n">
        <x:v>0.22208333333333333</x:v>
      </x:c>
      <x:c r="D16" s="102" t="n">
        <x:v>0.40208333333333335</x:v>
      </x:c>
      <x:c r="E16" s="102" t="n">
        <x:v>0.054409005628517824</x:v>
      </x:c>
      <x:c r="F16" s="102" t="n">
        <x:v>0.05013180445476193</x:v>
      </x:c>
      <x:c r="G16" s="123" t="n">
        <x:v>24635872175</x:v>
      </x:c>
      <x:c r="H16" s="123" t="n">
        <x:v>826963880.7258098</x:v>
      </x:c>
      <x:c r="I16" s="123" t="n">
        <x:v>2966298842.1416903</x:v>
      </x:c>
      <x:c r="J16" s="102" t="n">
        <x:v>1.2040567596189398</x:v>
      </x:c>
    </x:row>
    <x:row r="17">
      <x:c r="A17" s="102" t="n">
        <x:v>0.07</x:v>
      </x:c>
      <x:c r="B17" s="102" t="n">
        <x:v>0.16</x:v>
      </x:c>
      <x:c r="C17" s="102" t="n">
        <x:v>0.22208333333333333</x:v>
      </x:c>
      <x:c r="D17" s="102" t="n">
        <x:v>0.48</x:v>
      </x:c>
      <x:c r="E17" s="102" t="n">
        <x:v>0.054409005628517824</x:v>
      </x:c>
      <x:c r="F17" s="102" t="n">
        <x:v>0.05013180445476193</x:v>
      </x:c>
      <x:c r="G17" s="123" t="n">
        <x:v>24635872175</x:v>
      </x:c>
      <x:c r="H17" s="123" t="n">
        <x:v>826963880.7258098</x:v>
      </x:c>
      <x:c r="I17" s="123" t="n">
        <x:v>2966298842.1416903</x:v>
      </x:c>
      <x:c r="J17" s="102" t="n">
        <x:v>1.2040567596189398</x:v>
      </x:c>
    </x:row>
    <x:row r="18">
      <x:c r="A18" s="102" t="n">
        <x:v>0.07</x:v>
      </x:c>
      <x:c r="B18" s="102" t="n">
        <x:v>0.18</x:v>
      </x:c>
      <x:c r="C18" s="102" t="n">
        <x:v>0.22208333333333333</x:v>
      </x:c>
      <x:c r="D18" s="102" t="n">
        <x:v>0.5483333333333333</x:v>
      </x:c>
      <x:c r="E18" s="102" t="n">
        <x:v>0.054409005628517824</x:v>
      </x:c>
      <x:c r="F18" s="102" t="n">
        <x:v>0.05013180445476193</x:v>
      </x:c>
      <x:c r="G18" s="123" t="n">
        <x:v>24635872175</x:v>
      </x:c>
      <x:c r="H18" s="123" t="n">
        <x:v>826963880.7258098</x:v>
      </x:c>
      <x:c r="I18" s="123" t="n">
        <x:v>2966298842.1416903</x:v>
      </x:c>
      <x:c r="J18" s="102" t="n">
        <x:v>1.2040567596189398</x:v>
      </x:c>
    </x:row>
    <x:row r="19">
      <x:c r="A19" s="102" t="n">
        <x:v>0.07</x:v>
      </x:c>
      <x:c r="B19" s="102" t="n">
        <x:v>0.2</x:v>
      </x:c>
      <x:c r="C19" s="102" t="n">
        <x:v>0.22208333333333333</x:v>
      </x:c>
      <x:c r="D19" s="102" t="n">
        <x:v>0.60875</x:v>
      </x:c>
      <x:c r="E19" s="102" t="n">
        <x:v>0.054409005628517824</x:v>
      </x:c>
      <x:c r="F19" s="102" t="n">
        <x:v>0.05013180445476193</x:v>
      </x:c>
      <x:c r="G19" s="123" t="n">
        <x:v>24635872175</x:v>
      </x:c>
      <x:c r="H19" s="123" t="n">
        <x:v>826963880.7258098</x:v>
      </x:c>
      <x:c r="I19" s="123" t="n">
        <x:v>2966298842.1416903</x:v>
      </x:c>
      <x:c r="J19" s="102" t="n">
        <x:v>1.2040567596189398</x:v>
      </x:c>
    </x:row>
    <x:row r="20">
      <x:c r="A20" s="102" t="n">
        <x:v>0.07</x:v>
      </x:c>
      <x:c r="B20" s="102" t="n">
        <x:v>0.22</x:v>
      </x:c>
      <x:c r="C20" s="102" t="n">
        <x:v>0.22208333333333333</x:v>
      </x:c>
      <x:c r="D20" s="102" t="n">
        <x:v>0.6458333333333334</x:v>
      </x:c>
      <x:c r="E20" s="102" t="n">
        <x:v>0.054409005628517824</x:v>
      </x:c>
      <x:c r="F20" s="102" t="n">
        <x:v>0.05013180445476193</x:v>
      </x:c>
      <x:c r="G20" s="123" t="n">
        <x:v>24635872175</x:v>
      </x:c>
      <x:c r="H20" s="123" t="n">
        <x:v>826963880.7258098</x:v>
      </x:c>
      <x:c r="I20" s="123" t="n">
        <x:v>2966298842.1416903</x:v>
      </x:c>
      <x:c r="J20" s="102" t="n">
        <x:v>1.2040567596189398</x:v>
      </x:c>
    </x:row>
    <x:row r="21">
      <x:c r="A21" s="102" t="n">
        <x:v>0.08</x:v>
      </x:c>
      <x:c r="B21" s="102" t="n">
        <x:v>0.14</x:v>
      </x:c>
      <x:c r="C21" s="102" t="n">
        <x:v>0.29125</x:v>
      </x:c>
      <x:c r="D21" s="102" t="n">
        <x:v>0.3329166666666667</x:v>
      </x:c>
      <x:c r="E21" s="102" t="n">
        <x:v>0.058655221745350504</x:v>
      </x:c>
      <x:c r="F21" s="102" t="n">
        <x:v>0.055997829212164035</x:v>
      </x:c>
      <x:c r="G21" s="123" t="n">
        <x:v>32560172066</x:v>
      </x:c>
      <x:c r="H21" s="123" t="n">
        <x:v>1212401610.9396596</x:v>
      </x:c>
      <x:c r="I21" s="123" t="n">
        <x:v>3967820638.16784</x:v>
      </x:c>
      <x:c r="J21" s="102" t="n">
        <x:v>1.2186116922616386</x:v>
      </x:c>
    </x:row>
    <x:row r="22">
      <x:c r="A22" s="102" t="n">
        <x:v>0.08</x:v>
      </x:c>
      <x:c r="B22" s="102" t="n">
        <x:v>0.16</x:v>
      </x:c>
      <x:c r="C22" s="102" t="n">
        <x:v>0.29125</x:v>
      </x:c>
      <x:c r="D22" s="102" t="n">
        <x:v>0.41083333333333333</x:v>
      </x:c>
      <x:c r="E22" s="102" t="n">
        <x:v>0.058655221745350504</x:v>
      </x:c>
      <x:c r="F22" s="102" t="n">
        <x:v>0.055997829212164035</x:v>
      </x:c>
      <x:c r="G22" s="123" t="n">
        <x:v>32560172066</x:v>
      </x:c>
      <x:c r="H22" s="123" t="n">
        <x:v>1212401610.9396596</x:v>
      </x:c>
      <x:c r="I22" s="123" t="n">
        <x:v>3967820638.16784</x:v>
      </x:c>
      <x:c r="J22" s="102" t="n">
        <x:v>1.2186116922616386</x:v>
      </x:c>
    </x:row>
    <x:row r="23">
      <x:c r="A23" s="102" t="n">
        <x:v>0.08</x:v>
      </x:c>
      <x:c r="B23" s="102" t="n">
        <x:v>0.18</x:v>
      </x:c>
      <x:c r="C23" s="102" t="n">
        <x:v>0.29125</x:v>
      </x:c>
      <x:c r="D23" s="102" t="n">
        <x:v>0.4791666666666667</x:v>
      </x:c>
      <x:c r="E23" s="102" t="n">
        <x:v>0.058655221745350504</x:v>
      </x:c>
      <x:c r="F23" s="102" t="n">
        <x:v>0.055997829212164035</x:v>
      </x:c>
      <x:c r="G23" s="123" t="n">
        <x:v>32560172066</x:v>
      </x:c>
      <x:c r="H23" s="123" t="n">
        <x:v>1212401610.9396596</x:v>
      </x:c>
      <x:c r="I23" s="123" t="n">
        <x:v>3967820638.16784</x:v>
      </x:c>
      <x:c r="J23" s="102" t="n">
        <x:v>1.2186116922616386</x:v>
      </x:c>
    </x:row>
    <x:row r="24">
      <x:c r="A24" s="102" t="n">
        <x:v>0.08</x:v>
      </x:c>
      <x:c r="B24" s="102" t="n">
        <x:v>0.2</x:v>
      </x:c>
      <x:c r="C24" s="102" t="n">
        <x:v>0.29125</x:v>
      </x:c>
      <x:c r="D24" s="102" t="n">
        <x:v>0.5395833333333333</x:v>
      </x:c>
      <x:c r="E24" s="102" t="n">
        <x:v>0.058655221745350504</x:v>
      </x:c>
      <x:c r="F24" s="102" t="n">
        <x:v>0.055997829212164035</x:v>
      </x:c>
      <x:c r="G24" s="123" t="n">
        <x:v>32560172066</x:v>
      </x:c>
      <x:c r="H24" s="123" t="n">
        <x:v>1212401610.9396596</x:v>
      </x:c>
      <x:c r="I24" s="123" t="n">
        <x:v>3967820638.16784</x:v>
      </x:c>
      <x:c r="J24" s="102" t="n">
        <x:v>1.2186116922616386</x:v>
      </x:c>
    </x:row>
    <x:row r="25">
      <x:c r="A25" s="102" t="n">
        <x:v>0.08</x:v>
      </x:c>
      <x:c r="B25" s="102" t="n">
        <x:v>0.22</x:v>
      </x:c>
      <x:c r="C25" s="102" t="n">
        <x:v>0.29125</x:v>
      </x:c>
      <x:c r="D25" s="102" t="n">
        <x:v>0.5766666666666667</x:v>
      </x:c>
      <x:c r="E25" s="102" t="n">
        <x:v>0.058655221745350504</x:v>
      </x:c>
      <x:c r="F25" s="102" t="n">
        <x:v>0.055997829212164035</x:v>
      </x:c>
      <x:c r="G25" s="123" t="n">
        <x:v>32560172066</x:v>
      </x:c>
      <x:c r="H25" s="123" t="n">
        <x:v>1212401610.9396596</x:v>
      </x:c>
      <x:c r="I25" s="123" t="n">
        <x:v>3967820638.16784</x:v>
      </x:c>
      <x:c r="J25" s="102" t="n">
        <x:v>1.2186116922616386</x:v>
      </x:c>
    </x:row>
    <x:row r="26">
      <x:c r="A26" s="102" t="n">
        <x:v>0.09</x:v>
      </x:c>
      <x:c r="B26" s="102" t="n">
        <x:v>0.14</x:v>
      </x:c>
      <x:c r="C26" s="102" t="n">
        <x:v>0.3541666666666667</x:v>
      </x:c>
      <x:c r="D26" s="102" t="n">
        <x:v>0.27</x:v>
      </x:c>
      <x:c r="E26" s="102" t="n">
        <x:v>0.06588235294117648</x:v>
      </x:c>
      <x:c r="F26" s="102" t="n">
        <x:v>0.0612318269708522</x:v>
      </x:c>
      <x:c r="G26" s="123" t="n">
        <x:v>40409587043</x:v>
      </x:c>
      <x:c r="H26" s="123" t="n">
        <x:v>1648549890.299512</x:v>
      </x:c>
      <x:c r="I26" s="123" t="n">
        <x:v>4810977144.170487</x:v>
      </x:c>
      <x:c r="J26" s="102" t="n">
        <x:v>1.1905534048272028</x:v>
      </x:c>
    </x:row>
    <x:row r="27">
      <x:c r="A27" s="102" t="n">
        <x:v>0.09</x:v>
      </x:c>
      <x:c r="B27" s="102" t="n">
        <x:v>0.16</x:v>
      </x:c>
      <x:c r="C27" s="102" t="n">
        <x:v>0.3541666666666667</x:v>
      </x:c>
      <x:c r="D27" s="102" t="n">
        <x:v>0.34791666666666665</x:v>
      </x:c>
      <x:c r="E27" s="102" t="n">
        <x:v>0.06588235294117648</x:v>
      </x:c>
      <x:c r="F27" s="102" t="n">
        <x:v>0.0612318269708522</x:v>
      </x:c>
      <x:c r="G27" s="123" t="n">
        <x:v>40409587043</x:v>
      </x:c>
      <x:c r="H27" s="123" t="n">
        <x:v>1648549890.299512</x:v>
      </x:c>
      <x:c r="I27" s="123" t="n">
        <x:v>4810977144.170487</x:v>
      </x:c>
      <x:c r="J27" s="102" t="n">
        <x:v>1.1905534048272028</x:v>
      </x:c>
    </x:row>
    <x:row r="28">
      <x:c r="A28" s="102" t="n">
        <x:v>0.09</x:v>
      </x:c>
      <x:c r="B28" s="102" t="n">
        <x:v>0.18</x:v>
      </x:c>
      <x:c r="C28" s="102" t="n">
        <x:v>0.3541666666666667</x:v>
      </x:c>
      <x:c r="D28" s="102" t="n">
        <x:v>0.41625</x:v>
      </x:c>
      <x:c r="E28" s="102" t="n">
        <x:v>0.06588235294117648</x:v>
      </x:c>
      <x:c r="F28" s="102" t="n">
        <x:v>0.0612318269708522</x:v>
      </x:c>
      <x:c r="G28" s="123" t="n">
        <x:v>40409587043</x:v>
      </x:c>
      <x:c r="H28" s="123" t="n">
        <x:v>1648549890.299512</x:v>
      </x:c>
      <x:c r="I28" s="123" t="n">
        <x:v>4810977144.170487</x:v>
      </x:c>
      <x:c r="J28" s="102" t="n">
        <x:v>1.1905534048272028</x:v>
      </x:c>
    </x:row>
    <x:row r="29">
      <x:c r="A29" s="102" t="n">
        <x:v>0.09</x:v>
      </x:c>
      <x:c r="B29" s="102" t="n">
        <x:v>0.2</x:v>
      </x:c>
      <x:c r="C29" s="102" t="n">
        <x:v>0.3541666666666667</x:v>
      </x:c>
      <x:c r="D29" s="102" t="n">
        <x:v>0.4766666666666667</x:v>
      </x:c>
      <x:c r="E29" s="102" t="n">
        <x:v>0.06588235294117648</x:v>
      </x:c>
      <x:c r="F29" s="102" t="n">
        <x:v>0.0612318269708522</x:v>
      </x:c>
      <x:c r="G29" s="123" t="n">
        <x:v>40409587043</x:v>
      </x:c>
      <x:c r="H29" s="123" t="n">
        <x:v>1648549890.299512</x:v>
      </x:c>
      <x:c r="I29" s="123" t="n">
        <x:v>4810977144.170487</x:v>
      </x:c>
      <x:c r="J29" s="102" t="n">
        <x:v>1.1905534048272028</x:v>
      </x:c>
    </x:row>
    <x:row r="30">
      <x:c r="A30" s="102" t="n">
        <x:v>0.09</x:v>
      </x:c>
      <x:c r="B30" s="102" t="n">
        <x:v>0.22</x:v>
      </x:c>
      <x:c r="C30" s="102" t="n">
        <x:v>0.3541666666666667</x:v>
      </x:c>
      <x:c r="D30" s="102" t="n">
        <x:v>0.51375</x:v>
      </x:c>
      <x:c r="E30" s="102" t="n">
        <x:v>0.06588235294117648</x:v>
      </x:c>
      <x:c r="F30" s="102" t="n">
        <x:v>0.0612318269708522</x:v>
      </x:c>
      <x:c r="G30" s="123" t="n">
        <x:v>40409587043</x:v>
      </x:c>
      <x:c r="H30" s="123" t="n">
        <x:v>1648549890.299512</x:v>
      </x:c>
      <x:c r="I30" s="123" t="n">
        <x:v>4810977144.170487</x:v>
      </x:c>
      <x:c r="J30" s="102" t="n">
        <x:v>1.1905534048272028</x:v>
      </x:c>
    </x:row>
    <x:row r="31">
      <x:c r="A31" s="102" t="n">
        <x:v>0.1</x:v>
      </x:c>
      <x:c r="B31" s="102" t="n">
        <x:v>0.14</x:v>
      </x:c>
      <x:c r="C31" s="102" t="n">
        <x:v>0.41583333333333333</x:v>
      </x:c>
      <x:c r="D31" s="102" t="n">
        <x:v>0.20833333333333334</x:v>
      </x:c>
      <x:c r="E31" s="102" t="n">
        <x:v>0.06513026052104208</x:v>
      </x:c>
      <x:c r="F31" s="102" t="n">
        <x:v>0.0662135247930042</x:v>
      </x:c>
      <x:c r="G31" s="123" t="n">
        <x:v>48517078527</x:v>
      </x:c>
      <x:c r="H31" s="123" t="n">
        <x:v>2148655140.9163294</x:v>
      </x:c>
      <x:c r="I31" s="123" t="n">
        <x:v>5577051858.33867</x:v>
      </x:c>
      <x:c r="J31" s="102" t="n">
        <x:v>1.1495028199678208</x:v>
      </x:c>
    </x:row>
    <x:row r="32">
      <x:c r="A32" s="102" t="n">
        <x:v>0.1</x:v>
      </x:c>
      <x:c r="B32" s="102" t="n">
        <x:v>0.16</x:v>
      </x:c>
      <x:c r="C32" s="102" t="n">
        <x:v>0.41583333333333333</x:v>
      </x:c>
      <x:c r="D32" s="102" t="n">
        <x:v>0.28625</x:v>
      </x:c>
      <x:c r="E32" s="102" t="n">
        <x:v>0.06513026052104208</x:v>
      </x:c>
      <x:c r="F32" s="102" t="n">
        <x:v>0.0662135247930042</x:v>
      </x:c>
      <x:c r="G32" s="123" t="n">
        <x:v>48517078527</x:v>
      </x:c>
      <x:c r="H32" s="123" t="n">
        <x:v>2148655140.9163294</x:v>
      </x:c>
      <x:c r="I32" s="123" t="n">
        <x:v>5577051858.33867</x:v>
      </x:c>
      <x:c r="J32" s="102" t="n">
        <x:v>1.1495028199678208</x:v>
      </x:c>
    </x:row>
    <x:row r="33">
      <x:c r="A33" s="102" t="n">
        <x:v>0.1</x:v>
      </x:c>
      <x:c r="B33" s="102" t="n">
        <x:v>0.18</x:v>
      </x:c>
      <x:c r="C33" s="102" t="n">
        <x:v>0.41583333333333333</x:v>
      </x:c>
      <x:c r="D33" s="102" t="n">
        <x:v>0.3545833333333333</x:v>
      </x:c>
      <x:c r="E33" s="102" t="n">
        <x:v>0.06513026052104208</x:v>
      </x:c>
      <x:c r="F33" s="102" t="n">
        <x:v>0.0662135247930042</x:v>
      </x:c>
      <x:c r="G33" s="123" t="n">
        <x:v>48517078527</x:v>
      </x:c>
      <x:c r="H33" s="123" t="n">
        <x:v>2148655140.9163294</x:v>
      </x:c>
      <x:c r="I33" s="123" t="n">
        <x:v>5577051858.33867</x:v>
      </x:c>
      <x:c r="J33" s="102" t="n">
        <x:v>1.1495028199678208</x:v>
      </x:c>
    </x:row>
    <x:row r="34">
      <x:c r="A34" s="102" t="n">
        <x:v>0.1</x:v>
      </x:c>
      <x:c r="B34" s="102" t="n">
        <x:v>0.2</x:v>
      </x:c>
      <x:c r="C34" s="102" t="n">
        <x:v>0.41583333333333333</x:v>
      </x:c>
      <x:c r="D34" s="102" t="n">
        <x:v>0.415</x:v>
      </x:c>
      <x:c r="E34" s="102" t="n">
        <x:v>0.06513026052104208</x:v>
      </x:c>
      <x:c r="F34" s="102" t="n">
        <x:v>0.0662135247930042</x:v>
      </x:c>
      <x:c r="G34" s="123" t="n">
        <x:v>48517078527</x:v>
      </x:c>
      <x:c r="H34" s="123" t="n">
        <x:v>2148655140.9163294</x:v>
      </x:c>
      <x:c r="I34" s="123" t="n">
        <x:v>5577051858.33867</x:v>
      </x:c>
      <x:c r="J34" s="102" t="n">
        <x:v>1.1495028199678208</x:v>
      </x:c>
    </x:row>
    <x:row r="35">
      <x:c r="A35" s="102" t="n">
        <x:v>0.1</x:v>
      </x:c>
      <x:c r="B35" s="102" t="n">
        <x:v>0.22</x:v>
      </x:c>
      <x:c r="C35" s="102" t="n">
        <x:v>0.41583333333333333</x:v>
      </x:c>
      <x:c r="D35" s="102" t="n">
        <x:v>0.45208333333333334</x:v>
      </x:c>
      <x:c r="E35" s="102" t="n">
        <x:v>0.06513026052104208</x:v>
      </x:c>
      <x:c r="F35" s="102" t="n">
        <x:v>0.0662135247930042</x:v>
      </x:c>
      <x:c r="G35" s="123" t="n">
        <x:v>48517078527</x:v>
      </x:c>
      <x:c r="H35" s="123" t="n">
        <x:v>2148655140.9163294</x:v>
      </x:c>
      <x:c r="I35" s="123" t="n">
        <x:v>5577051858.33867</x:v>
      </x:c>
      <x:c r="J35" s="102" t="n">
        <x:v>1.1495028199678208</x:v>
      </x:c>
    </x:row>
    <x:row r="36">
      <x:c r="A36" s="102" t="n">
        <x:v>0.11</x:v>
      </x:c>
      <x:c r="B36" s="102" t="n">
        <x:v>0.15</x:v>
      </x:c>
      <x:c r="C36" s="102" t="n">
        <x:v>0.47708333333333336</x:v>
      </x:c>
      <x:c r="D36" s="102" t="n">
        <x:v>0.18333333333333332</x:v>
      </x:c>
      <x:c r="E36" s="102" t="n">
        <x:v>0.06986899563318777</x:v>
      </x:c>
      <x:c r="F36" s="102" t="n">
        <x:v>0.07122194614688748</x:v>
      </x:c>
      <x:c r="G36" s="123" t="n">
        <x:v>56729125893</x:v>
      </x:c>
      <x:c r="H36" s="123" t="n">
        <x:v>2711431408.9235888</x:v>
      </x:c>
      <x:c r="I36" s="123" t="n">
        <x:v>6890405065.31891</x:v>
      </x:c>
      <x:c r="J36" s="102" t="n">
        <x:v>1.2146150600513905</x:v>
      </x:c>
    </x:row>
    <x:row r="37">
      <x:c r="A37" s="102" t="n">
        <x:v>0.11</x:v>
      </x:c>
      <x:c r="B37" s="102" t="n">
        <x:v>0.17</x:v>
      </x:c>
      <x:c r="C37" s="102" t="n">
        <x:v>0.47708333333333336</x:v>
      </x:c>
      <x:c r="D37" s="102" t="n">
        <x:v>0.26125</x:v>
      </x:c>
      <x:c r="E37" s="102" t="n">
        <x:v>0.06986899563318777</x:v>
      </x:c>
      <x:c r="F37" s="102" t="n">
        <x:v>0.07122194614688748</x:v>
      </x:c>
      <x:c r="G37" s="123" t="n">
        <x:v>56729125893</x:v>
      </x:c>
      <x:c r="H37" s="123" t="n">
        <x:v>2711431408.9235888</x:v>
      </x:c>
      <x:c r="I37" s="123" t="n">
        <x:v>6890405065.31891</x:v>
      </x:c>
      <x:c r="J37" s="102" t="n">
        <x:v>1.2146150600513905</x:v>
      </x:c>
    </x:row>
    <x:row r="38">
      <x:c r="A38" s="102" t="n">
        <x:v>0.11</x:v>
      </x:c>
      <x:c r="B38" s="102" t="n">
        <x:v>0.19</x:v>
      </x:c>
      <x:c r="C38" s="102" t="n">
        <x:v>0.47708333333333336</x:v>
      </x:c>
      <x:c r="D38" s="102" t="n">
        <x:v>0.3275</x:v>
      </x:c>
      <x:c r="E38" s="102" t="n">
        <x:v>0.06986899563318777</x:v>
      </x:c>
      <x:c r="F38" s="102" t="n">
        <x:v>0.07122194614688748</x:v>
      </x:c>
      <x:c r="G38" s="123" t="n">
        <x:v>56729125893</x:v>
      </x:c>
      <x:c r="H38" s="123" t="n">
        <x:v>2711431408.9235888</x:v>
      </x:c>
      <x:c r="I38" s="123" t="n">
        <x:v>6890405065.31891</x:v>
      </x:c>
      <x:c r="J38" s="102" t="n">
        <x:v>1.2146150600513905</x:v>
      </x:c>
    </x:row>
    <x:row r="39">
      <x:c r="A39" s="102" t="n">
        <x:v>0.11</x:v>
      </x:c>
      <x:c r="B39" s="102" t="n">
        <x:v>0.21</x:v>
      </x:c>
      <x:c r="C39" s="102" t="n">
        <x:v>0.47708333333333336</x:v>
      </x:c>
      <x:c r="D39" s="102" t="n">
        <x:v>0.37375</x:v>
      </x:c>
      <x:c r="E39" s="102" t="n">
        <x:v>0.06986899563318777</x:v>
      </x:c>
      <x:c r="F39" s="102" t="n">
        <x:v>0.07122194614688748</x:v>
      </x:c>
      <x:c r="G39" s="123" t="n">
        <x:v>56729125893</x:v>
      </x:c>
      <x:c r="H39" s="123" t="n">
        <x:v>2711431408.9235888</x:v>
      </x:c>
      <x:c r="I39" s="123" t="n">
        <x:v>6890405065.31891</x:v>
      </x:c>
      <x:c r="J39" s="102" t="n">
        <x:v>1.2146150600513905</x:v>
      </x:c>
    </x:row>
    <x:row r="40">
      <x:c r="A40" s="102" t="n">
        <x:v>0.11</x:v>
      </x:c>
      <x:c r="B40" s="102" t="n">
        <x:v>0.23</x:v>
      </x:c>
      <x:c r="C40" s="102" t="n">
        <x:v>0.47708333333333336</x:v>
      </x:c>
      <x:c r="D40" s="102" t="n">
        <x:v>0.4058333333333333</x:v>
      </x:c>
      <x:c r="E40" s="102" t="n">
        <x:v>0.06986899563318777</x:v>
      </x:c>
      <x:c r="F40" s="102" t="n">
        <x:v>0.07122194614688748</x:v>
      </x:c>
      <x:c r="G40" s="123" t="n">
        <x:v>56729125893</x:v>
      </x:c>
      <x:c r="H40" s="123" t="n">
        <x:v>2711431408.9235888</x:v>
      </x:c>
      <x:c r="I40" s="123" t="n">
        <x:v>6890405065.31891</x:v>
      </x:c>
      <x:c r="J40" s="102" t="n">
        <x:v>1.2146150600513905</x:v>
      </x:c>
    </x:row>
    <x:row r="41">
      <x:c r="A41" s="102" t="n">
        <x:v>0.12</x:v>
      </x:c>
      <x:c r="B41" s="102" t="n">
        <x:v>0.16</x:v>
      </x:c>
      <x:c r="C41" s="102" t="n">
        <x:v>0.5304166666666666</x:v>
      </x:c>
      <x:c r="D41" s="102" t="n">
        <x:v>0.17166666666666666</x:v>
      </x:c>
      <x:c r="E41" s="102" t="n">
        <x:v>0.07069913589945012</x:v>
      </x:c>
      <x:c r="F41" s="102" t="n">
        <x:v>0.0755940433456215</x:v>
      </x:c>
      <x:c r="G41" s="123" t="n">
        <x:v>63784309181</x:v>
      </x:c>
      <x:c r="H41" s="123" t="n">
        <x:v>3237189369.277129</x:v>
      </x:c>
      <x:c r="I41" s="123" t="n">
        <x:v>7976415444.42787</x:v>
      </x:c>
      <x:c r="J41" s="102" t="n">
        <x:v>1.250529408697253</x:v>
      </x:c>
    </x:row>
    <x:row r="42">
      <x:c r="A42" s="102" t="n">
        <x:v>0.12</x:v>
      </x:c>
      <x:c r="B42" s="102" t="n">
        <x:v>0.18</x:v>
      </x:c>
      <x:c r="C42" s="102" t="n">
        <x:v>0.5304166666666666</x:v>
      </x:c>
      <x:c r="D42" s="102" t="n">
        <x:v>0.24</x:v>
      </x:c>
      <x:c r="E42" s="102" t="n">
        <x:v>0.07069913589945012</x:v>
      </x:c>
      <x:c r="F42" s="102" t="n">
        <x:v>0.0755940433456215</x:v>
      </x:c>
      <x:c r="G42" s="123" t="n">
        <x:v>63784309181</x:v>
      </x:c>
      <x:c r="H42" s="123" t="n">
        <x:v>3237189369.277129</x:v>
      </x:c>
      <x:c r="I42" s="123" t="n">
        <x:v>7976415444.42787</x:v>
      </x:c>
      <x:c r="J42" s="102" t="n">
        <x:v>1.250529408697253</x:v>
      </x:c>
    </x:row>
    <x:row r="43">
      <x:c r="A43" s="102" t="n">
        <x:v>0.12</x:v>
      </x:c>
      <x:c r="B43" s="102" t="n">
        <x:v>0.2</x:v>
      </x:c>
      <x:c r="C43" s="102" t="n">
        <x:v>0.5304166666666666</x:v>
      </x:c>
      <x:c r="D43" s="102" t="n">
        <x:v>0.30041666666666667</x:v>
      </x:c>
      <x:c r="E43" s="102" t="n">
        <x:v>0.07069913589945012</x:v>
      </x:c>
      <x:c r="F43" s="102" t="n">
        <x:v>0.0755940433456215</x:v>
      </x:c>
      <x:c r="G43" s="123" t="n">
        <x:v>63784309181</x:v>
      </x:c>
      <x:c r="H43" s="123" t="n">
        <x:v>3237189369.277129</x:v>
      </x:c>
      <x:c r="I43" s="123" t="n">
        <x:v>7976415444.42787</x:v>
      </x:c>
      <x:c r="J43" s="102" t="n">
        <x:v>1.250529408697253</x:v>
      </x:c>
    </x:row>
    <x:row r="44">
      <x:c r="A44" s="102" t="n">
        <x:v>0.12</x:v>
      </x:c>
      <x:c r="B44" s="102" t="n">
        <x:v>0.22</x:v>
      </x:c>
      <x:c r="C44" s="102" t="n">
        <x:v>0.5304166666666666</x:v>
      </x:c>
      <x:c r="D44" s="102" t="n">
        <x:v>0.3375</x:v>
      </x:c>
      <x:c r="E44" s="102" t="n">
        <x:v>0.07069913589945012</x:v>
      </x:c>
      <x:c r="F44" s="102" t="n">
        <x:v>0.0755940433456215</x:v>
      </x:c>
      <x:c r="G44" s="123" t="n">
        <x:v>63784309181</x:v>
      </x:c>
      <x:c r="H44" s="123" t="n">
        <x:v>3237189369.277129</x:v>
      </x:c>
      <x:c r="I44" s="123" t="n">
        <x:v>7976415444.42787</x:v>
      </x:c>
      <x:c r="J44" s="102" t="n">
        <x:v>1.250529408697253</x:v>
      </x:c>
    </x:row>
    <x:row r="45">
      <x:c r="A45" s="102" t="n">
        <x:v>0.13</x:v>
      </x:c>
      <x:c r="B45" s="102" t="n">
        <x:v>0.17</x:v>
      </x:c>
      <x:c r="C45" s="102" t="n">
        <x:v>0.5745833333333333</x:v>
      </x:c>
      <x:c r="D45" s="102" t="n">
        <x:v>0.16375</x:v>
      </x:c>
      <x:c r="E45" s="102" t="n">
        <x:v>0.0775924583031182</x:v>
      </x:c>
      <x:c r="F45" s="102" t="n">
        <x:v>0.07938221927500227</x:v>
      </x:c>
      <x:c r="G45" s="123" t="n">
        <x:v>69558061105</x:v>
      </x:c>
      <x:c r="H45" s="123" t="n">
        <x:v>3706115189.0227466</x:v>
      </x:c>
      <x:c r="I45" s="123" t="n">
        <x:v>8782580131.857252</x:v>
      </x:c>
      <x:c r="J45" s="102" t="n">
        <x:v>1.2626257823086358</x:v>
      </x:c>
    </x:row>
    <x:row r="46">
      <x:c r="A46" s="102" t="n">
        <x:v>0.13</x:v>
      </x:c>
      <x:c r="B46" s="102" t="n">
        <x:v>0.19</x:v>
      </x:c>
      <x:c r="C46" s="102" t="n">
        <x:v>0.5745833333333333</x:v>
      </x:c>
      <x:c r="D46" s="102" t="n">
        <x:v>0.23</x:v>
      </x:c>
      <x:c r="E46" s="102" t="n">
        <x:v>0.0775924583031182</x:v>
      </x:c>
      <x:c r="F46" s="102" t="n">
        <x:v>0.07938221927500227</x:v>
      </x:c>
      <x:c r="G46" s="123" t="n">
        <x:v>69558061105</x:v>
      </x:c>
      <x:c r="H46" s="123" t="n">
        <x:v>3706115189.0227466</x:v>
      </x:c>
      <x:c r="I46" s="123" t="n">
        <x:v>8782580131.857252</x:v>
      </x:c>
      <x:c r="J46" s="102" t="n">
        <x:v>1.2626257823086358</x:v>
      </x:c>
    </x:row>
    <x:row r="47">
      <x:c r="A47" s="102" t="n">
        <x:v>0.13</x:v>
      </x:c>
      <x:c r="B47" s="102" t="n">
        <x:v>0.21</x:v>
      </x:c>
      <x:c r="C47" s="102" t="n">
        <x:v>0.5745833333333333</x:v>
      </x:c>
      <x:c r="D47" s="102" t="n">
        <x:v>0.27625</x:v>
      </x:c>
      <x:c r="E47" s="102" t="n">
        <x:v>0.0775924583031182</x:v>
      </x:c>
      <x:c r="F47" s="102" t="n">
        <x:v>0.07938221927500227</x:v>
      </x:c>
      <x:c r="G47" s="123" t="n">
        <x:v>69558061105</x:v>
      </x:c>
      <x:c r="H47" s="123" t="n">
        <x:v>3706115189.0227466</x:v>
      </x:c>
      <x:c r="I47" s="123" t="n">
        <x:v>8782580131.857252</x:v>
      </x:c>
      <x:c r="J47" s="102" t="n">
        <x:v>1.2626257823086358</x:v>
      </x:c>
    </x:row>
    <x:row r="48">
      <x:c r="A48" s="121" t="n">
        <x:v>0.13</x:v>
      </x:c>
      <x:c r="B48" s="121" t="n">
        <x:v>0.23</x:v>
      </x:c>
      <x:c r="C48" s="121" t="n">
        <x:v>0.5745833333333333</x:v>
      </x:c>
      <x:c r="D48" s="121" t="n">
        <x:v>0.30833333333333335</x:v>
      </x:c>
      <x:c r="E48" s="121" t="n">
        <x:v>0.0775924583031182</x:v>
      </x:c>
      <x:c r="F48" s="121" t="n">
        <x:v>0.07938221927500227</x:v>
      </x:c>
      <x:c r="G48" s="103" t="n">
        <x:v>69558061105</x:v>
      </x:c>
      <x:c r="H48" s="103" t="n">
        <x:v>3706115189.0227466</x:v>
      </x:c>
      <x:c r="I48" s="103" t="n">
        <x:v>8782580131.857252</x:v>
      </x:c>
      <x:c r="J48" s="121" t="n">
        <x:v>1.2626257823086358</x:v>
      </x:c>
    </x:row>
  </x:sheetData>
  <x:dataValidations count="2">
    <x:dataValidation type="list" sqref="B5">
      <x:formula1>"6%,7%,8%,9%,10%,11%,12%,13%"</x:formula1>
    </x:dataValidation>
    <x:dataValidation type="list" sqref="B6">
      <x:formula1>"14%,15%,16%,17%,18%,19%,20%,21%,22%"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6" hidden="0" customWidth="1"/>
  </x:cols>
  <x:sheetData>
    <x:row r="2" ht="25" customHeight="1">
      <x:c r="A2" s="88" t="str">
        <x:v>Portfolio Stress Testing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Base, Downturn and Severe scenarios apply shocks to PD odds, LGD and funding cost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Scenario</x:v>
      </x:c>
      <x:c r="B6" s="95" t="str">
        <x:v>PD odds multiplier</x:v>
      </x:c>
      <x:c r="C6" s="95" t="str">
        <x:v>LGD</x:v>
      </x:c>
      <x:c r="D6" s="95" t="str">
        <x:v>Funding rate</x:v>
      </x:c>
      <x:c r="E6" s="95" t="str">
        <x:v>Approval rate</x:v>
      </x:c>
      <x:c r="F6" s="95" t="str">
        <x:v>Portfolio PD</x:v>
      </x:c>
      <x:c r="G6" s="95" t="str">
        <x:v>Expected loss</x:v>
      </x:c>
      <x:c r="H6" s="95" t="str">
        <x:v>Expected profit</x:v>
      </x:c>
      <x:c r="I6" s="95" t="str">
        <x:v>RAROC</x:v>
      </x:c>
    </x:row>
    <x:row r="7">
      <x:c r="A7" s="98" t="str">
        <x:v>Base</x:v>
      </x:c>
      <x:c r="B7" s="98" t="n">
        <x:v>1</x:v>
      </x:c>
      <x:c r="C7" s="120" t="n">
        <x:v>0.65</x:v>
      </x:c>
      <x:c r="D7" s="120" t="n">
        <x:v>0.07</x:v>
      </x:c>
      <x:c r="E7" s="120" t="n">
        <x:v>0.41583333333333333</x:v>
      </x:c>
      <x:c r="F7" s="120" t="n">
        <x:v>0.0662135247930042</x:v>
      </x:c>
      <x:c r="G7" s="122" t="n">
        <x:v>2148655140.9163294</x:v>
      </x:c>
      <x:c r="H7" s="122" t="n">
        <x:v>5577051858.33867</x:v>
      </x:c>
      <x:c r="I7" s="120" t="n">
        <x:v>1.1495028199678208</x:v>
      </x:c>
    </x:row>
    <x:row r="8">
      <x:c r="A8" s="99" t="str">
        <x:v>Downturn</x:v>
      </x:c>
      <x:c r="B8" s="99" t="n">
        <x:v>1.35</x:v>
      </x:c>
      <x:c r="C8" s="102" t="n">
        <x:v>0.72</x:v>
      </x:c>
      <x:c r="D8" s="102" t="n">
        <x:v>0.085</x:v>
      </x:c>
      <x:c r="E8" s="102" t="n">
        <x:v>0.26625</x:v>
      </x:c>
      <x:c r="F8" s="102" t="n">
        <x:v>0.07135786752922843</x:v>
      </x:c>
      <x:c r="G8" s="123" t="n">
        <x:v>1566282838.8256607</x:v>
      </x:c>
      <x:c r="H8" s="123" t="n">
        <x:v>2612992398.696839</x:v>
      </x:c>
      <x:c r="I8" s="102" t="n">
        <x:v>0.8788187242386657</x:v>
      </x:c>
    </x:row>
    <x:row r="9">
      <x:c r="A9" s="100" t="str">
        <x:v>Severe</x:v>
      </x:c>
      <x:c r="B9" s="100" t="n">
        <x:v>1.75</x:v>
      </x:c>
      <x:c r="C9" s="121" t="n">
        <x:v>0.8</x:v>
      </x:c>
      <x:c r="D9" s="121" t="n">
        <x:v>0.10500000000000001</x:v>
      </x:c>
      <x:c r="E9" s="121" t="n">
        <x:v>0.16166666666666665</x:v>
      </x:c>
      <x:c r="F9" s="121" t="n">
        <x:v>0.07551309550135663</x:v>
      </x:c>
      <x:c r="G9" s="103" t="n">
        <x:v>1038052424.8439927</x:v>
      </x:c>
      <x:c r="H9" s="103" t="n">
        <x:v>785309980.9310069</x:v>
      </x:c>
      <x:c r="I9" s="121" t="n">
        <x:v>0.46635754929223566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</x:cols>
  <x:sheetData>
    <x:row r="2" ht="25" customHeight="1">
      <x:c r="A2" s="88" t="str">
        <x:v>PD–LGD–EAD Portfolio Economics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Risk-band view of exposure, expected loss, profit, RAROC and break-even pricing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Risk band</x:v>
      </x:c>
      <x:c r="B6" s="95" t="str">
        <x:v>Applications</x:v>
      </x:c>
      <x:c r="C6" s="95" t="str">
        <x:v>Mean PD</x:v>
      </x:c>
      <x:c r="D6" s="95" t="str">
        <x:v>Total EAD</x:v>
      </x:c>
      <x:c r="E6" s="95" t="str">
        <x:v>Expected loss</x:v>
      </x:c>
      <x:c r="F6" s="95" t="str">
        <x:v>Expected profit</x:v>
      </x:c>
      <x:c r="G6" s="95" t="str">
        <x:v>Mean RAROC</x:v>
      </x:c>
      <x:c r="H6" s="95" t="str">
        <x:v>Break-even rate</x:v>
      </x:c>
    </x:row>
    <x:row r="7">
      <x:c r="A7" s="98" t="str">
        <x:v>A</x:v>
      </x:c>
      <x:c r="B7" s="98" t="n">
        <x:v>250</x:v>
      </x:c>
      <x:c r="C7" s="120" t="n">
        <x:v>0.03891539512009936</x:v>
      </x:c>
      <x:c r="D7" s="122" t="n">
        <x:v>10281650966</x:v>
      </x:c>
      <x:c r="E7" s="122" t="n">
        <x:v>264576001.75358525</x:v>
      </x:c>
      <x:c r="F7" s="122" t="n">
        <x:v>1148945844.5739148</x:v>
      </x:c>
      <x:c r="G7" s="120" t="n">
        <x:v>0.5903985462417544</x:v>
      </x:c>
      <x:c r="H7" s="120" t="n">
        <x:v>0.10096014537582455</x:v>
      </x:c>
    </x:row>
    <x:row r="8">
      <x:c r="A8" s="99" t="str">
        <x:v>B</x:v>
      </x:c>
      <x:c r="B8" s="99" t="n">
        <x:v>748</x:v>
      </x:c>
      <x:c r="C8" s="102" t="n">
        <x:v>0.0753372312344831</x:v>
      </x:c>
      <x:c r="D8" s="123" t="n">
        <x:v>38235427561</x:v>
      </x:c>
      <x:c r="E8" s="123" t="n">
        <x:v>1884079139.1627438</x:v>
      </x:c>
      <x:c r="F8" s="123" t="n">
        <x:v>4428106013.764755</x:v>
      </x:c>
      <x:c r="G8" s="102" t="n">
        <x:v>0.6280858148907581</x:v>
      </x:c>
      <x:c r="H8" s="102" t="n">
        <x:v>0.11719141851092417</x:v>
      </x:c>
    </x:row>
    <x:row r="9">
      <x:c r="A9" s="99" t="str">
        <x:v>C</x:v>
      </x:c>
      <x:c r="B9" s="99" t="n">
        <x:v>851</x:v>
      </x:c>
      <x:c r="C9" s="102" t="n">
        <x:v>0.13558594772682916</x:v>
      </x:c>
      <x:c r="D9" s="123" t="n">
        <x:v>47953851294</x:v>
      </x:c>
      <x:c r="E9" s="123" t="n">
        <x:v>4240421782.516341</x:v>
      </x:c>
      <x:c r="F9" s="123" t="n">
        <x:v>6524299377.183659</x:v>
      </x:c>
      <x:c r="G9" s="102" t="n">
        <x:v>0.6990246488529464</x:v>
      </x:c>
      <x:c r="H9" s="102" t="n">
        <x:v>0.15009753511470536</x:v>
      </x:c>
    </x:row>
    <x:row r="10">
      <x:c r="A10" s="100" t="str">
        <x:v>D</x:v>
      </x:c>
      <x:c r="B10" s="100" t="n">
        <x:v>551</x:v>
      </x:c>
      <x:c r="C10" s="121" t="n">
        <x:v>0.25261702094961436</x:v>
      </x:c>
      <x:c r="D10" s="103" t="n">
        <x:v>34838542802</x:v>
      </x:c>
      <x:c r="E10" s="103" t="n">
        <x:v>5688402967.814716</x:v>
      </x:c>
      <x:c r="F10" s="103" t="n">
        <x:v>3309646382.060283</x:v>
      </x:c>
      <x:c r="G10" s="121" t="n">
        <x:v>0.2942612071323855</x:v>
      </x:c>
      <x:c r="H10" s="121" t="n">
        <x:v>0.22057387928676145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70" hidden="0" customWidth="1"/>
  </x:cols>
  <x:sheetData>
    <x:row r="2" ht="25" customHeight="1">
      <x:c r="A2" s="88" t="str">
        <x:v>V6 Bank-Grade Deployment &amp; IFRS 9 Summary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Outcome-maturity controls, component validation, probability-weighted ECL and safe rollback evidence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Metric</x:v>
      </x:c>
      <x:c r="B6" s="136" t="str">
        <x:v>Result</x:v>
      </x:c>
      <x:c r="D6" s="136" t="str">
        <x:v>Validation conclusion</x:v>
      </x:c>
    </x:row>
    <x:row r="7" ht="95" customHeight="1">
      <x:c r="A7" s="98" t="str">
        <x:v>Build</x:v>
      </x:c>
      <x:c r="B7" s="98" t="str">
        <x:v>V6.0</x:v>
      </x:c>
      <x:c r="D7" s="140" t="str">
        <x:v>LGD and EAD proxy models pass their synthetic validation thresholds. Recent cohorts do not report outcome-dependent metrics until labels mature. The 25% canary fails its operational gates, full rollout is blocked and the stable release is restored through five completed rollback controls.</x:v>
      </x:c>
    </x:row>
    <x:row r="8">
      <x:c r="A8" s="99" t="str">
        <x:v>Overall status</x:v>
      </x:c>
      <x:c r="B8" s="99" t="str">
        <x:v>CONDITIONAL PASS</x:v>
      </x:c>
    </x:row>
    <x:row r="9">
      <x:c r="A9" s="99" t="str">
        <x:v>Monitoring months</x:v>
      </x:c>
      <x:c r="B9" s="99" t="n">
        <x:v>17</x:v>
      </x:c>
    </x:row>
    <x:row r="10" ht="30" customHeight="1">
      <x:c r="A10" s="99" t="str">
        <x:v>Mature months</x:v>
      </x:c>
      <x:c r="B10" s="99" t="n">
        <x:v>4</x:v>
      </x:c>
      <x:c r="D10" s="136" t="str">
        <x:v>Decision</x:v>
      </x:c>
    </x:row>
    <x:row r="11" ht="70" customHeight="1">
      <x:c r="A11" s="99" t="str">
        <x:v>LGD validation</x:v>
      </x:c>
      <x:c r="B11" s="99" t="str">
        <x:v>PASS</x:v>
      </x:c>
      <x:c r="D11" s="144" t="str">
        <x:v>CONDITIONAL PASS. Use the workflow as portfolio evidence only. Replace synthetic recovery, utilization and macroeconomic assumptions before bank deployment or financial reporting.</x:v>
      </x:c>
    </x:row>
    <x:row r="12">
      <x:c r="A12" s="99" t="str">
        <x:v>EAD validation</x:v>
      </x:c>
      <x:c r="B12" s="99" t="str">
        <x:v>PASS</x:v>
      </x:c>
    </x:row>
    <x:row r="13">
      <x:c r="A13" s="99" t="str">
        <x:v>Weighted ECL</x:v>
      </x:c>
      <x:c r="B13" s="123" t="n">
        <x:v>16742481517.980267</x:v>
      </x:c>
    </x:row>
    <x:row r="14">
      <x:c r="A14" s="99" t="str">
        <x:v>Stage 2–3 share</x:v>
      </x:c>
      <x:c r="B14" s="102" t="n">
        <x:v>0.2775</x:v>
      </x:c>
    </x:row>
    <x:row r="15">
      <x:c r="A15" s="100" t="str">
        <x:v>Rollout status</x:v>
      </x:c>
      <x:c r="B15" s="100" t="str">
        <x:v>ROLLED BACK SAFELY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7" hidden="0" customWidth="1"/>
  </x:cols>
  <x:sheetData>
    <x:row r="2" ht="25" customHeight="1">
      <x:c r="A2" s="88" t="str">
        <x:v>Delayed-Outcome Model Monitoring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Outcome-dependent metrics appear only after the 12-month observation window matures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Month</x:v>
      </x:c>
      <x:c r="B6" s="136" t="str">
        <x:v>Applications</x:v>
      </x:c>
      <x:c r="C6" s="136" t="str">
        <x:v>Label maturity</x:v>
      </x:c>
      <x:c r="D6" s="136" t="str">
        <x:v>Mean PD</x:v>
      </x:c>
      <x:c r="E6" s="136" t="str">
        <x:v>Observed bad rate</x:v>
      </x:c>
      <x:c r="F6" s="136" t="str">
        <x:v>AUC</x:v>
      </x:c>
      <x:c r="G6" s="136" t="str">
        <x:v>KS</x:v>
      </x:c>
      <x:c r="H6" s="136" t="str">
        <x:v>Calibration gap</x:v>
      </x:c>
      <x:c r="I6" s="136" t="str">
        <x:v>Score PSI</x:v>
      </x:c>
      <x:c r="J6" s="136" t="str">
        <x:v>Status</x:v>
      </x:c>
      <x:c r="K6" s="136" t="str">
        <x:v>Action</x:v>
      </x:c>
    </x:row>
    <x:row r="7">
      <x:c r="A7" s="98" t="str">
        <x:v>2024-01</x:v>
      </x:c>
      <x:c r="B7" s="98" t="n">
        <x:v>744</x:v>
      </x:c>
      <x:c r="C7" s="120" t="n">
        <x:v>1</x:v>
      </x:c>
      <x:c r="D7" s="120" t="n">
        <x:v>0.13406692310043541</x:v>
      </x:c>
      <x:c r="E7" s="120" t="n">
        <x:v>0.13844086021505375</x:v>
      </x:c>
      <x:c r="F7" s="120" t="n">
        <x:v>0.7109795071414508</x:v>
      </x:c>
      <x:c r="G7" s="120" t="n">
        <x:v>0.338685003710828</x:v>
      </x:c>
      <x:c r="H7" s="120" t="n">
        <x:v>-0.004373937114618337</x:v>
      </x:c>
      <x:c r="I7" s="120" t="n">
        <x:v>0.010011912769006365</x:v>
      </x:c>
      <x:c r="J7" s="98" t="str">
        <x:v>GREEN</x:v>
      </x:c>
      <x:c r="K7" s="98" t="str">
        <x:v>Continue routine monitoring</x:v>
      </x:c>
    </x:row>
    <x:row r="8">
      <x:c r="A8" s="99" t="str">
        <x:v>2024-02</x:v>
      </x:c>
      <x:c r="B8" s="99" t="n">
        <x:v>696</x:v>
      </x:c>
      <x:c r="C8" s="102" t="n">
        <x:v>1</x:v>
      </x:c>
      <x:c r="D8" s="102" t="n">
        <x:v>0.1331075065131946</x:v>
      </x:c>
      <x:c r="E8" s="102" t="n">
        <x:v>0.13505747126436782</x:v>
      </x:c>
      <x:c r="F8" s="102" t="n">
        <x:v>0.7132254188167102</x:v>
      </x:c>
      <x:c r="G8" s="102" t="n">
        <x:v>0.40351311232063336</x:v>
      </x:c>
      <x:c r="H8" s="102" t="n">
        <x:v>-0.0019499647511732054</x:v>
      </x:c>
      <x:c r="I8" s="102" t="n">
        <x:v>0.009232733743495527</x:v>
      </x:c>
      <x:c r="J8" s="99" t="str">
        <x:v>GREEN</x:v>
      </x:c>
      <x:c r="K8" s="99" t="str">
        <x:v>Continue routine monitoring</x:v>
      </x:c>
    </x:row>
    <x:row r="9">
      <x:c r="A9" s="99" t="str">
        <x:v>2024-03</x:v>
      </x:c>
      <x:c r="B9" s="99" t="n">
        <x:v>744</x:v>
      </x:c>
      <x:c r="C9" s="102" t="n">
        <x:v>1</x:v>
      </x:c>
      <x:c r="D9" s="102" t="n">
        <x:v>0.12839376777437306</x:v>
      </x:c>
      <x:c r="E9" s="102" t="n">
        <x:v>0.135752688172043</x:v>
      </x:c>
      <x:c r="F9" s="102" t="n">
        <x:v>0.7020849052245816</x:v>
      </x:c>
      <x:c r="G9" s="102" t="n">
        <x:v>0.36439647075127424</x:v>
      </x:c>
      <x:c r="H9" s="102" t="n">
        <x:v>-0.0073589203976699435</x:v>
      </x:c>
      <x:c r="I9" s="102" t="n">
        <x:v>0.003458173206675865</x:v>
      </x:c>
      <x:c r="J9" s="99" t="str">
        <x:v>GREEN</x:v>
      </x:c>
      <x:c r="K9" s="99" t="str">
        <x:v>Continue routine monitoring</x:v>
      </x:c>
    </x:row>
    <x:row r="10">
      <x:c r="A10" s="99" t="str">
        <x:v>2024-04</x:v>
      </x:c>
      <x:c r="B10" s="99" t="n">
        <x:v>720</x:v>
      </x:c>
      <x:c r="C10" s="102" t="n">
        <x:v>1</x:v>
      </x:c>
      <x:c r="D10" s="102" t="n">
        <x:v>0.12598774199978655</x:v>
      </x:c>
      <x:c r="E10" s="102" t="n">
        <x:v>0.09861111111111111</x:v>
      </x:c>
      <x:c r="F10" s="102" t="n">
        <x:v>0.7115931335315437</x:v>
      </x:c>
      <x:c r="G10" s="102" t="n">
        <x:v>0.35601901082922804</x:v>
      </x:c>
      <x:c r="H10" s="102" t="n">
        <x:v>0.027376630888675438</x:v>
      </x:c>
      <x:c r="I10" s="102" t="n">
        <x:v>0.013546789427277526</x:v>
      </x:c>
      <x:c r="J10" s="99" t="str">
        <x:v>GREEN</x:v>
      </x:c>
      <x:c r="K10" s="99" t="str">
        <x:v>Continue routine monitoring</x:v>
      </x:c>
    </x:row>
    <x:row r="11">
      <x:c r="A11" s="99" t="str">
        <x:v>2024-05</x:v>
      </x:c>
      <x:c r="B11" s="99" t="n">
        <x:v>744</x:v>
      </x:c>
      <x:c r="C11" s="102" t="n">
        <x:v>0.4206989247311828</x:v>
      </x:c>
      <x:c r="D11" s="102" t="n">
        <x:v>0.13332478933373712</x:v>
      </x:c>
      <x:c r="E11" s="102" t="n">
        <x:v>0.12460063897763578</x:v>
      </x:c>
      <x:c r="F11" s="102" t="n">
        <x:v>0.7271195957327344</x:v>
      </x:c>
      <x:c r="G11" s="102" t="n">
        <x:v>0.45882463035747706</x:v>
      </x:c>
      <x:c r="H11" s="102" t="n">
        <x:v>0.010340571129062795</x:v>
      </x:c>
      <x:c r="I11" s="102" t="n">
        <x:v>0.013199966302887845</x:v>
      </x:c>
      <x:c r="J11" s="99" t="str">
        <x:v>PENDING</x:v>
      </x:c>
      <x:c r="K11" s="99" t="str">
        <x:v>Use leading indicators until labels mature</x:v>
      </x:c>
    </x:row>
    <x:row r="12">
      <x:c r="A12" s="99" t="str">
        <x:v>2024-06</x:v>
      </x:c>
      <x:c r="B12" s="99" t="n">
        <x:v>720</x:v>
      </x:c>
      <x:c r="C12" s="102" t="n">
        <x:v>0</x:v>
      </x:c>
      <x:c r="D12" s="102" t="n">
        <x:v>0.12823923709398766</x:v>
      </x:c>
      <x:c r="E12" s="102"/>
      <x:c r="F12" s="102"/>
      <x:c r="G12" s="102"/>
      <x:c r="H12" s="102"/>
      <x:c r="I12" s="102" t="n">
        <x:v>0.016256172403043473</x:v>
      </x:c>
      <x:c r="J12" s="99" t="str">
        <x:v>PENDING</x:v>
      </x:c>
      <x:c r="K12" s="99" t="str">
        <x:v>Use leading indicators until labels mature</x:v>
      </x:c>
    </x:row>
    <x:row r="13">
      <x:c r="A13" s="99" t="str">
        <x:v>2024-07</x:v>
      </x:c>
      <x:c r="B13" s="99" t="n">
        <x:v>744</x:v>
      </x:c>
      <x:c r="C13" s="102" t="n">
        <x:v>0</x:v>
      </x:c>
      <x:c r="D13" s="102" t="n">
        <x:v>0.12598607691069566</x:v>
      </x:c>
      <x:c r="E13" s="102"/>
      <x:c r="F13" s="102"/>
      <x:c r="G13" s="102"/>
      <x:c r="H13" s="102"/>
      <x:c r="I13" s="102" t="n">
        <x:v>0.022414687980229796</x:v>
      </x:c>
      <x:c r="J13" s="99" t="str">
        <x:v>PENDING</x:v>
      </x:c>
      <x:c r="K13" s="99" t="str">
        <x:v>Use leading indicators until labels mature</x:v>
      </x:c>
    </x:row>
    <x:row r="14">
      <x:c r="A14" s="99" t="str">
        <x:v>2024-08</x:v>
      </x:c>
      <x:c r="B14" s="99" t="n">
        <x:v>744</x:v>
      </x:c>
      <x:c r="C14" s="102" t="n">
        <x:v>0</x:v>
      </x:c>
      <x:c r="D14" s="102" t="n">
        <x:v>0.12936632557917926</x:v>
      </x:c>
      <x:c r="E14" s="102"/>
      <x:c r="F14" s="102"/>
      <x:c r="G14" s="102"/>
      <x:c r="H14" s="102"/>
      <x:c r="I14" s="102" t="n">
        <x:v>0.010842322310736277</x:v>
      </x:c>
      <x:c r="J14" s="99" t="str">
        <x:v>PENDING</x:v>
      </x:c>
      <x:c r="K14" s="99" t="str">
        <x:v>Use leading indicators until labels mature</x:v>
      </x:c>
    </x:row>
    <x:row r="15">
      <x:c r="A15" s="99" t="str">
        <x:v>2024-09</x:v>
      </x:c>
      <x:c r="B15" s="99" t="n">
        <x:v>720</x:v>
      </x:c>
      <x:c r="C15" s="102" t="n">
        <x:v>0</x:v>
      </x:c>
      <x:c r="D15" s="102" t="n">
        <x:v>0.1331357320072498</x:v>
      </x:c>
      <x:c r="E15" s="102"/>
      <x:c r="F15" s="102"/>
      <x:c r="G15" s="102"/>
      <x:c r="H15" s="102"/>
      <x:c r="I15" s="102" t="n">
        <x:v>0.011842136892479588</x:v>
      </x:c>
      <x:c r="J15" s="99" t="str">
        <x:v>PENDING</x:v>
      </x:c>
      <x:c r="K15" s="99" t="str">
        <x:v>Use leading indicators until labels mature</x:v>
      </x:c>
    </x:row>
    <x:row r="16">
      <x:c r="A16" s="99" t="str">
        <x:v>2024-10</x:v>
      </x:c>
      <x:c r="B16" s="99" t="n">
        <x:v>744</x:v>
      </x:c>
      <x:c r="C16" s="102" t="n">
        <x:v>0</x:v>
      </x:c>
      <x:c r="D16" s="102" t="n">
        <x:v>0.130335942588563</x:v>
      </x:c>
      <x:c r="E16" s="102"/>
      <x:c r="F16" s="102"/>
      <x:c r="G16" s="102"/>
      <x:c r="H16" s="102"/>
      <x:c r="I16" s="102" t="n">
        <x:v>0.028669970571005315</x:v>
      </x:c>
      <x:c r="J16" s="99" t="str">
        <x:v>PENDING</x:v>
      </x:c>
      <x:c r="K16" s="99" t="str">
        <x:v>Use leading indicators until labels mature</x:v>
      </x:c>
    </x:row>
    <x:row r="17">
      <x:c r="A17" s="99" t="str">
        <x:v>2024-11</x:v>
      </x:c>
      <x:c r="B17" s="99" t="n">
        <x:v>720</x:v>
      </x:c>
      <x:c r="C17" s="102" t="n">
        <x:v>0</x:v>
      </x:c>
      <x:c r="D17" s="102" t="n">
        <x:v>0.12500658952601096</x:v>
      </x:c>
      <x:c r="E17" s="102"/>
      <x:c r="F17" s="102"/>
      <x:c r="G17" s="102"/>
      <x:c r="H17" s="102"/>
      <x:c r="I17" s="102" t="n">
        <x:v>0.02323547434984566</x:v>
      </x:c>
      <x:c r="J17" s="99" t="str">
        <x:v>PENDING</x:v>
      </x:c>
      <x:c r="K17" s="99" t="str">
        <x:v>Use leading indicators until labels mature</x:v>
      </x:c>
    </x:row>
    <x:row r="18">
      <x:c r="A18" s="99" t="str">
        <x:v>2024-12</x:v>
      </x:c>
      <x:c r="B18" s="99" t="n">
        <x:v>744</x:v>
      </x:c>
      <x:c r="C18" s="102" t="n">
        <x:v>0</x:v>
      </x:c>
      <x:c r="D18" s="102" t="n">
        <x:v>0.1314139250160869</x:v>
      </x:c>
      <x:c r="E18" s="102"/>
      <x:c r="F18" s="102"/>
      <x:c r="G18" s="102"/>
      <x:c r="H18" s="102"/>
      <x:c r="I18" s="102" t="n">
        <x:v>0.01402971852848108</x:v>
      </x:c>
      <x:c r="J18" s="99" t="str">
        <x:v>PENDING</x:v>
      </x:c>
      <x:c r="K18" s="99" t="str">
        <x:v>Use leading indicators until labels mature</x:v>
      </x:c>
    </x:row>
    <x:row r="19">
      <x:c r="A19" s="99" t="str">
        <x:v>2025-01</x:v>
      </x:c>
      <x:c r="B19" s="99" t="n">
        <x:v>744</x:v>
      </x:c>
      <x:c r="C19" s="102" t="n">
        <x:v>0</x:v>
      </x:c>
      <x:c r="D19" s="102" t="n">
        <x:v>0.13140611937096483</x:v>
      </x:c>
      <x:c r="E19" s="102"/>
      <x:c r="F19" s="102"/>
      <x:c r="G19" s="102"/>
      <x:c r="H19" s="102"/>
      <x:c r="I19" s="102" t="n">
        <x:v>0.006858028067876926</x:v>
      </x:c>
      <x:c r="J19" s="99" t="str">
        <x:v>PENDING</x:v>
      </x:c>
      <x:c r="K19" s="99" t="str">
        <x:v>Use leading indicators until labels mature</x:v>
      </x:c>
    </x:row>
    <x:row r="20">
      <x:c r="A20" s="99" t="str">
        <x:v>2025-02</x:v>
      </x:c>
      <x:c r="B20" s="99" t="n">
        <x:v>672</x:v>
      </x:c>
      <x:c r="C20" s="102" t="n">
        <x:v>0</x:v>
      </x:c>
      <x:c r="D20" s="102" t="n">
        <x:v>0.13714714338731035</x:v>
      </x:c>
      <x:c r="E20" s="102"/>
      <x:c r="F20" s="102"/>
      <x:c r="G20" s="102"/>
      <x:c r="H20" s="102"/>
      <x:c r="I20" s="102" t="n">
        <x:v>0.02025786022568559</x:v>
      </x:c>
      <x:c r="J20" s="99" t="str">
        <x:v>PENDING</x:v>
      </x:c>
      <x:c r="K20" s="99" t="str">
        <x:v>Use leading indicators until labels mature</x:v>
      </x:c>
    </x:row>
    <x:row r="21">
      <x:c r="A21" s="99" t="str">
        <x:v>2025-03</x:v>
      </x:c>
      <x:c r="B21" s="99" t="n">
        <x:v>744</x:v>
      </x:c>
      <x:c r="C21" s="102" t="n">
        <x:v>0</x:v>
      </x:c>
      <x:c r="D21" s="102" t="n">
        <x:v>0.13315170134867732</x:v>
      </x:c>
      <x:c r="E21" s="102"/>
      <x:c r="F21" s="102"/>
      <x:c r="G21" s="102"/>
      <x:c r="H21" s="102"/>
      <x:c r="I21" s="102" t="n">
        <x:v>0.006821404040291932</x:v>
      </x:c>
      <x:c r="J21" s="99" t="str">
        <x:v>PENDING</x:v>
      </x:c>
      <x:c r="K21" s="99" t="str">
        <x:v>Use leading indicators until labels mature</x:v>
      </x:c>
    </x:row>
    <x:row r="22">
      <x:c r="A22" s="99" t="str">
        <x:v>2025-04</x:v>
      </x:c>
      <x:c r="B22" s="99" t="n">
        <x:v>720</x:v>
      </x:c>
      <x:c r="C22" s="102" t="n">
        <x:v>0</x:v>
      </x:c>
      <x:c r="D22" s="102" t="n">
        <x:v>0.13230087775674315</x:v>
      </x:c>
      <x:c r="E22" s="102"/>
      <x:c r="F22" s="102"/>
      <x:c r="G22" s="102"/>
      <x:c r="H22" s="102"/>
      <x:c r="I22" s="102" t="n">
        <x:v>0.030528901185534522</x:v>
      </x:c>
      <x:c r="J22" s="99" t="str">
        <x:v>PENDING</x:v>
      </x:c>
      <x:c r="K22" s="99" t="str">
        <x:v>Use leading indicators until labels mature</x:v>
      </x:c>
    </x:row>
    <x:row r="23">
      <x:c r="A23" s="100" t="str">
        <x:v>2025-05</x:v>
      </x:c>
      <x:c r="B23" s="100" t="n">
        <x:v>336</x:v>
      </x:c>
      <x:c r="C23" s="121" t="n">
        <x:v>0</x:v>
      </x:c>
      <x:c r="D23" s="121" t="n">
        <x:v>0.1324936335930023</x:v>
      </x:c>
      <x:c r="E23" s="121"/>
      <x:c r="F23" s="121"/>
      <x:c r="G23" s="121"/>
      <x:c r="H23" s="121"/>
      <x:c r="I23" s="121" t="n">
        <x:v>0.02075250404092226</x:v>
      </x:c>
      <x:c r="J23" s="100" t="str">
        <x:v>PENDING</x:v>
      </x:c>
      <x:c r="K23" s="100" t="str">
        <x:v>Use leading indicators until labels mature</x:v>
      </x:c>
    </x:row>
  </x:sheetData>
  <x:conditionalFormatting sqref="J7:J23">
    <x:cfRule type="containsText" dxfId="7" priority="1" operator="containsText" text="RED"/>
    <x:cfRule type="containsText" dxfId="8" priority="2" operator="containsText" text="AMBER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</x:cols>
  <x:sheetData>
    <x:row r="2" ht="25" customHeight="1">
      <x:c r="A2" s="88" t="str">
        <x:v>IFRS 9 PD–LGD–EAD and Macroeconomic Scenarios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Edit scenario weights in blue; weights must total 100%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Scenario</x:v>
      </x:c>
      <x:c r="B6" s="136" t="str">
        <x:v>Weight</x:v>
      </x:c>
      <x:c r="C6" s="136" t="str">
        <x:v>GDP growth</x:v>
      </x:c>
      <x:c r="D6" s="136" t="str">
        <x:v>Unemployment</x:v>
      </x:c>
      <x:c r="E6" s="136" t="str">
        <x:v>Policy rate</x:v>
      </x:c>
      <x:c r="F6" s="136" t="str">
        <x:v>PD odds multiplier</x:v>
      </x:c>
      <x:c r="G6" s="136" t="str">
        <x:v>LGD add-on</x:v>
      </x:c>
      <x:c r="H6" s="136" t="str">
        <x:v>Total EAD</x:v>
      </x:c>
      <x:c r="I6" s="136" t="str">
        <x:v>Scenario ECL</x:v>
      </x:c>
    </x:row>
    <x:row r="7">
      <x:c r="A7" s="98" t="str">
        <x:v>Upside</x:v>
      </x:c>
      <x:c r="B7" s="151" t="n">
        <x:v>0.2</x:v>
      </x:c>
      <x:c r="C7" s="120" t="n">
        <x:v>0.07</x:v>
      </x:c>
      <x:c r="D7" s="120" t="n">
        <x:v>0.02</x:v>
      </x:c>
      <x:c r="E7" s="120" t="n">
        <x:v>0.04</x:v>
      </x:c>
      <x:c r="F7" s="98" t="n">
        <x:v>0.85</x:v>
      </x:c>
      <x:c r="G7" s="120" t="n">
        <x:v>-0.03</x:v>
      </x:c>
      <x:c r="H7" s="122" t="n">
        <x:v>119791035946.00287</x:v>
      </x:c>
      <x:c r="I7" s="122" t="n">
        <x:v>13823554150.24054</x:v>
      </x:c>
    </x:row>
    <x:row r="8">
      <x:c r="A8" s="99" t="str">
        <x:v>Base</x:v>
      </x:c>
      <x:c r="B8" s="152" t="n">
        <x:v>0.5</x:v>
      </x:c>
      <x:c r="C8" s="102" t="n">
        <x:v>0.06</x:v>
      </x:c>
      <x:c r="D8" s="102" t="n">
        <x:v>0.025</x:v>
      </x:c>
      <x:c r="E8" s="102" t="n">
        <x:v>0.045</x:v>
      </x:c>
      <x:c r="F8" s="99" t="n">
        <x:v>1</x:v>
      </x:c>
      <x:c r="G8" s="102" t="n">
        <x:v>0</x:v>
      </x:c>
      <x:c r="H8" s="123" t="n">
        <x:v>119791035946.00287</x:v>
      </x:c>
      <x:c r="I8" s="123" t="n">
        <x:v>15551959064.32417</x:v>
      </x:c>
    </x:row>
    <x:row r="9">
      <x:c r="A9" s="100" t="str">
        <x:v>Downside</x:v>
      </x:c>
      <x:c r="B9" s="153" t="n">
        <x:v>0.3</x:v>
      </x:c>
      <x:c r="C9" s="121" t="n">
        <x:v>0.035</x:v>
      </x:c>
      <x:c r="D9" s="121" t="n">
        <x:v>0.04</x:v>
      </x:c>
      <x:c r="E9" s="121" t="n">
        <x:v>0.06</x:v>
      </x:c>
      <x:c r="F9" s="100" t="n">
        <x:v>1.45</x:v>
      </x:c>
      <x:c r="G9" s="121" t="n">
        <x:v>0.08</x:v>
      </x:c>
      <x:c r="H9" s="103" t="n">
        <x:v>119791035946.00287</x:v>
      </x:c>
      <x:c r="I9" s="103" t="n">
        <x:v>20672637185.90025</x:v>
      </x:c>
    </x:row>
    <x:row r="11" ht="30" customHeight="1">
      <x:c r="A11" s="136" t="str">
        <x:v>Control</x:v>
      </x:c>
      <x:c r="B11" s="136" t="str">
        <x:v>Result</x:v>
      </x:c>
    </x:row>
    <x:row r="12">
      <x:c r="A12" t="str">
        <x:v>Weight total</x:v>
      </x:c>
      <x:c r="B12" s="124" t="n">
        <x:f>SUM(B7:B9)</x:f>
        <x:v>1</x:v>
      </x:c>
    </x:row>
    <x:row r="13">
      <x:c r="A13" t="str">
        <x:v>Probability-weighted ECL</x:v>
      </x:c>
      <x:c r="B13" s="125" t="n">
        <x:f>SUMPRODUCT(B7:B9,I7:I9)</x:f>
        <x:v>16742481517.980268</x:v>
      </x:c>
    </x:row>
    <x:row r="16" ht="30" customHeight="1">
      <x:c r="A16" s="136" t="str">
        <x:v>Stage</x:v>
      </x:c>
      <x:c r="B16" s="136" t="str">
        <x:v>Accounts</x:v>
      </x:c>
      <x:c r="C16" s="136" t="str">
        <x:v>Mean PD</x:v>
      </x:c>
      <x:c r="D16" s="136" t="str">
        <x:v>Mean LGD</x:v>
      </x:c>
      <x:c r="E16" s="136" t="str">
        <x:v>Total EAD</x:v>
      </x:c>
      <x:c r="F16" s="136" t="str">
        <x:v>Weighted ECL</x:v>
      </x:c>
      <x:c r="H16" s="136" t="str">
        <x:v>Component</x:v>
      </x:c>
      <x:c r="I16" s="136" t="str">
        <x:v>Validation</x:v>
      </x:c>
    </x:row>
    <x:row r="17">
      <x:c r="A17" s="98" t="str">
        <x:v>Stage 1</x:v>
      </x:c>
      <x:c r="B17" s="98" t="n">
        <x:v>1734</x:v>
      </x:c>
      <x:c r="C17" s="120" t="n">
        <x:v>0.11589071202232072</x:v>
      </x:c>
      <x:c r="D17" s="120" t="n">
        <x:v>0.4361985160336805</x:v>
      </x:c>
      <x:c r="E17" s="122" t="n">
        <x:v>85228598819.86734</x:v>
      </x:c>
      <x:c r="F17" s="122" t="n">
        <x:v>5400981996.0181675</x:v>
      </x:c>
      <x:c r="H17" s="98" t="str">
        <x:v>LGD status</x:v>
      </x:c>
      <x:c r="I17" s="98" t="str">
        <x:v>PASS</x:v>
      </x:c>
    </x:row>
    <x:row r="18">
      <x:c r="A18" s="99" t="str">
        <x:v>Stage 2</x:v>
      </x:c>
      <x:c r="B18" s="99" t="n">
        <x:v>348</x:v>
      </x:c>
      <x:c r="C18" s="102" t="n">
        <x:v>0.17580169388206887</x:v>
      </x:c>
      <x:c r="D18" s="102" t="n">
        <x:v>0.5855640308881879</x:v>
      </x:c>
      <x:c r="E18" s="123" t="n">
        <x:v>17669096948.607224</x:v>
      </x:c>
      <x:c r="F18" s="123" t="n">
        <x:v>2884136450.0839586</x:v>
      </x:c>
      <x:c r="H18" s="99" t="str">
        <x:v>LGD MAE</x:v>
      </x:c>
      <x:c r="I18" s="101" t="n">
        <x:v>0.05795432937019979</x:v>
      </x:c>
    </x:row>
    <x:row r="19">
      <x:c r="A19" s="100" t="str">
        <x:v>Stage 3</x:v>
      </x:c>
      <x:c r="B19" s="100" t="n">
        <x:v>318</x:v>
      </x:c>
      <x:c r="C19" s="121" t="n">
        <x:v>0.1840353260519599</x:v>
      </x:c>
      <x:c r="D19" s="121" t="n">
        <x:v>0.5205743056737361</x:v>
      </x:c>
      <x:c r="E19" s="103" t="n">
        <x:v>16893340177.52831</x:v>
      </x:c>
      <x:c r="F19" s="103" t="n">
        <x:v>8457363071.878141</x:v>
      </x:c>
      <x:c r="H19" s="99" t="str">
        <x:v>LGD R-squared</x:v>
      </x:c>
      <x:c r="I19" s="101" t="n">
        <x:v>0.7846700439811771</x:v>
      </x:c>
    </x:row>
    <x:row r="20">
      <x:c r="H20" s="99" t="str">
        <x:v>EAD status</x:v>
      </x:c>
      <x:c r="I20" s="101" t="str">
        <x:v>PASS</x:v>
      </x:c>
    </x:row>
    <x:row r="21">
      <x:c r="H21" s="100" t="str">
        <x:v>EAD MAE</x:v>
      </x:c>
      <x:c r="I21" s="113" t="n">
        <x:v>0.028775702042834604</x:v>
      </x:c>
    </x:row>
  </x:sheetData>
  <x:conditionalFormatting sqref="B12:B12">
    <x:cfRule type="cellIs" dxfId="9" priority="1" operator="notEqual">
      <x:formula>1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3" hidden="0" customWidth="1"/>
    <x:col min="4" max="4" width="33" hidden="0" customWidth="1"/>
    <x:col min="5" max="5" width="17" hidden="0" customWidth="1"/>
    <x:col min="6" max="6" width="17" hidden="0" customWidth="1"/>
    <x:col min="7" max="7" width="17" hidden="0" customWidth="1"/>
    <x:col min="8" max="8" width="45" hidden="0" customWidth="1"/>
  </x:cols>
  <x:sheetData>
    <x:row r="2" ht="25" customHeight="1">
      <x:c r="A2" s="88" t="str">
        <x:v>Shadow, Canary and Rollback Controls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Rollout proceeds only when score, decision, latency and error gates pass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Phase</x:v>
      </x:c>
      <x:c r="B6" s="136" t="str">
        <x:v>Traffic share</x:v>
      </x:c>
      <x:c r="C6" s="136" t="str">
        <x:v>Score match</x:v>
      </x:c>
      <x:c r="D6" s="136" t="str">
        <x:v>Decision match</x:v>
      </x:c>
      <x:c r="E6" s="136" t="str">
        <x:v>p95 latency ms</x:v>
      </x:c>
      <x:c r="F6" s="136" t="str">
        <x:v>Error rate</x:v>
      </x:c>
      <x:c r="G6" s="136" t="str">
        <x:v>Status</x:v>
      </x:c>
      <x:c r="H6" s="136" t="str">
        <x:v>Next action</x:v>
      </x:c>
    </x:row>
    <x:row r="7">
      <x:c r="A7" s="98" t="str">
        <x:v>Shadow</x:v>
      </x:c>
      <x:c r="B7" s="120" t="n">
        <x:v>0</x:v>
      </x:c>
      <x:c r="C7" s="120" t="n">
        <x:v>1</x:v>
      </x:c>
      <x:c r="D7" s="120" t="n">
        <x:v>1</x:v>
      </x:c>
      <x:c r="E7" s="98" t="n">
        <x:v>11.2</x:v>
      </x:c>
      <x:c r="F7" s="120" t="n">
        <x:v>0</x:v>
      </x:c>
      <x:c r="G7" s="98" t="str">
        <x:v>PASS</x:v>
      </x:c>
      <x:c r="H7" s="98" t="str">
        <x:v>Start 5% canary</x:v>
      </x:c>
    </x:row>
    <x:row r="8">
      <x:c r="A8" s="99" t="str">
        <x:v>Canary 5%</x:v>
      </x:c>
      <x:c r="B8" s="102" t="n">
        <x:v>0.05</x:v>
      </x:c>
      <x:c r="C8" s="102" t="n">
        <x:v>0.999</x:v>
      </x:c>
      <x:c r="D8" s="102" t="n">
        <x:v>0.998</x:v>
      </x:c>
      <x:c r="E8" s="99" t="n">
        <x:v>13.8</x:v>
      </x:c>
      <x:c r="F8" s="102" t="n">
        <x:v>0.001</x:v>
      </x:c>
      <x:c r="G8" s="99" t="str">
        <x:v>PASS</x:v>
      </x:c>
      <x:c r="H8" s="99" t="str">
        <x:v>Expand to 25%</x:v>
      </x:c>
    </x:row>
    <x:row r="9">
      <x:c r="A9" s="99" t="str">
        <x:v>Canary 25%</x:v>
      </x:c>
      <x:c r="B9" s="102" t="n">
        <x:v>0.25</x:v>
      </x:c>
      <x:c r="C9" s="102" t="n">
        <x:v>0.998</x:v>
      </x:c>
      <x:c r="D9" s="102" t="n">
        <x:v>0.973</x:v>
      </x:c>
      <x:c r="E9" s="99" t="n">
        <x:v>148</x:v>
      </x:c>
      <x:c r="F9" s="102" t="n">
        <x:v>0.027</x:v>
      </x:c>
      <x:c r="G9" s="99" t="str">
        <x:v>ROLLBACK</x:v>
      </x:c>
      <x:c r="H9" s="99" t="str">
        <x:v>Restore stable release and open incident</x:v>
      </x:c>
    </x:row>
    <x:row r="10">
      <x:c r="A10" s="100" t="str">
        <x:v>Full production</x:v>
      </x:c>
      <x:c r="B10" s="121" t="n">
        <x:v>1</x:v>
      </x:c>
      <x:c r="C10" s="121"/>
      <x:c r="D10" s="121"/>
      <x:c r="E10" s="100"/>
      <x:c r="F10" s="121"/>
      <x:c r="G10" s="100" t="str">
        <x:v>BLOCKED</x:v>
      </x:c>
      <x:c r="H10" s="100" t="str">
        <x:v>Close incident and repeat canary</x:v>
      </x:c>
    </x:row>
    <x:row r="14" ht="30" customHeight="1">
      <x:c r="A14" s="136" t="str">
        <x:v>Step</x:v>
      </x:c>
      <x:c r="B14" s="136" t="str">
        <x:v>Control</x:v>
      </x:c>
      <x:c r="C14" s="136" t="str">
        <x:v>Evidence</x:v>
      </x:c>
      <x:c r="D14" s="136" t="str">
        <x:v>Owner</x:v>
      </x:c>
      <x:c r="E14" s="136" t="str">
        <x:v>Status</x:v>
      </x:c>
    </x:row>
    <x:row r="15">
      <x:c r="A15" s="98" t="n">
        <x:v>1</x:v>
      </x:c>
      <x:c r="B15" s="98" t="str">
        <x:v>Stop traffic expansion</x:v>
      </x:c>
      <x:c r="C15" s="98" t="str">
        <x:v>Deployment gate changed to ROLLBACK</x:v>
      </x:c>
      <x:c r="D15" s="98" t="str">
        <x:v>Release Manager</x:v>
      </x:c>
      <x:c r="E15" s="98" t="str">
        <x:v>PASS</x:v>
      </x:c>
    </x:row>
    <x:row r="16">
      <x:c r="A16" s="99" t="n">
        <x:v>2</x:v>
      </x:c>
      <x:c r="B16" s="99" t="str">
        <x:v>Restore stable model and policy</x:v>
      </x:c>
      <x:c r="C16" s="99" t="str">
        <x:v>RCS_PD_4.0 / RETAIL_POLICY_1.0 active</x:v>
      </x:c>
      <x:c r="D16" s="99" t="str">
        <x:v>Model Owner</x:v>
      </x:c>
      <x:c r="E16" s="99" t="str">
        <x:v>PASS</x:v>
      </x:c>
    </x:row>
    <x:row r="17">
      <x:c r="A17" s="99" t="n">
        <x:v>3</x:v>
      </x:c>
      <x:c r="B17" s="99" t="str">
        <x:v>Reconcile scores and decisions</x:v>
      </x:c>
      <x:c r="C17" s="99" t="str">
        <x:v>1,000 records; maximum PD gap below 1e-6</x:v>
      </x:c>
      <x:c r="D17" s="99" t="str">
        <x:v>Validation</x:v>
      </x:c>
      <x:c r="E17" s="99" t="str">
        <x:v>PASS</x:v>
      </x:c>
    </x:row>
    <x:row r="18">
      <x:c r="A18" s="99" t="n">
        <x:v>4</x:v>
      </x:c>
      <x:c r="B18" s="99" t="str">
        <x:v>Verify service recovery</x:v>
      </x:c>
      <x:c r="C18" s="99" t="str">
        <x:v>p95 latency 12.4 ms; error rate 0.0%</x:v>
      </x:c>
      <x:c r="D18" s="99" t="str">
        <x:v>Platform Engineering</x:v>
      </x:c>
      <x:c r="E18" s="99" t="str">
        <x:v>PASS</x:v>
      </x:c>
    </x:row>
    <x:row r="19">
      <x:c r="A19" s="100" t="n">
        <x:v>5</x:v>
      </x:c>
      <x:c r="B19" s="100" t="str">
        <x:v>Record incident and remediation</x:v>
      </x:c>
      <x:c r="C19" s="100" t="str">
        <x:v>INC-2026-001 and INC-2026-002 closed</x:v>
      </x:c>
      <x:c r="D19" s="100" t="str">
        <x:v>Operational Risk</x:v>
      </x:c>
      <x:c r="E19" s="100" t="str">
        <x:v>PASS</x:v>
      </x:c>
    </x:row>
  </x:sheetData>
  <x:conditionalFormatting sqref="G7:G10">
    <x:cfRule type="containsText" dxfId="10" priority="1" operator="containsText" text="ROLLBACK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0" hidden="0" customWidth="1"/>
    <x:col min="8" max="8" width="48" hidden="0" customWidth="1"/>
    <x:col min="9" max="9" width="15" hidden="0" customWidth="1"/>
    <x:col min="10" max="10" width="15" hidden="0" customWidth="1"/>
  </x:cols>
  <x:sheetData>
    <x:row r="2" ht="25" customHeight="1">
      <x:c r="A2" s="88" t="str">
        <x:v>Model and Deployment Incident Register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Each alert has a severity, accountable owner, remediation action and response SLA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Incident ID</x:v>
      </x:c>
      <x:c r="B6" s="136" t="str">
        <x:v>Signal</x:v>
      </x:c>
      <x:c r="C6" s="136" t="str">
        <x:v>Observed</x:v>
      </x:c>
      <x:c r="D6" s="136" t="str">
        <x:v>Amber threshold</x:v>
      </x:c>
      <x:c r="E6" s="136" t="str">
        <x:v>Red threshold</x:v>
      </x:c>
      <x:c r="F6" s="136" t="str">
        <x:v>Severity</x:v>
      </x:c>
      <x:c r="G6" s="136" t="str">
        <x:v>Owner</x:v>
      </x:c>
      <x:c r="H6" s="136" t="str">
        <x:v>Action</x:v>
      </x:c>
      <x:c r="I6" s="136" t="str">
        <x:v>SLA hours</x:v>
      </x:c>
      <x:c r="J6" s="136" t="str">
        <x:v>Status</x:v>
      </x:c>
    </x:row>
    <x:row r="7">
      <x:c r="A7" s="98" t="str">
        <x:v>INC-2026-001</x:v>
      </x:c>
      <x:c r="B7" s="98" t="str">
        <x:v>API p95 latency</x:v>
      </x:c>
      <x:c r="C7" s="98" t="n">
        <x:v>148</x:v>
      </x:c>
      <x:c r="D7" s="98" t="n">
        <x:v>75</x:v>
      </x:c>
      <x:c r="E7" s="98" t="n">
        <x:v>120</x:v>
      </x:c>
      <x:c r="F7" s="98" t="str">
        <x:v>HIGH</x:v>
      </x:c>
      <x:c r="G7" s="98" t="str">
        <x:v>Platform Engineering</x:v>
      </x:c>
      <x:c r="H7" s="98" t="str">
        <x:v>Rollback V6 service image</x:v>
      </x:c>
      <x:c r="I7" s="98" t="n">
        <x:v>2</x:v>
      </x:c>
      <x:c r="J7" s="98" t="str">
        <x:v>CLOSED</x:v>
      </x:c>
    </x:row>
    <x:row r="8">
      <x:c r="A8" s="99" t="str">
        <x:v>INC-2026-002</x:v>
      </x:c>
      <x:c r="B8" s="99" t="str">
        <x:v>Decision mismatch rate</x:v>
      </x:c>
      <x:c r="C8" s="99" t="n">
        <x:v>0.027</x:v>
      </x:c>
      <x:c r="D8" s="99" t="n">
        <x:v>0.005</x:v>
      </x:c>
      <x:c r="E8" s="99" t="n">
        <x:v>0.01</x:v>
      </x:c>
      <x:c r="F8" s="99" t="str">
        <x:v>CRITICAL</x:v>
      </x:c>
      <x:c r="G8" s="99" t="str">
        <x:v>Model Owner</x:v>
      </x:c>
      <x:c r="H8" s="99" t="str">
        <x:v>Freeze rollout and reconcile policy version</x:v>
      </x:c>
      <x:c r="I8" s="99" t="n">
        <x:v>1</x:v>
      </x:c>
      <x:c r="J8" s="99" t="str">
        <x:v>CLOSED</x:v>
      </x:c>
    </x:row>
    <x:row r="9">
      <x:c r="A9" s="99" t="str">
        <x:v>INC-2026-003</x:v>
      </x:c>
      <x:c r="B9" s="99" t="str">
        <x:v>Bureau-score missing rate</x:v>
      </x:c>
      <x:c r="C9" s="99" t="n">
        <x:v>0.062</x:v>
      </x:c>
      <x:c r="D9" s="99" t="n">
        <x:v>0.02</x:v>
      </x:c>
      <x:c r="E9" s="99" t="n">
        <x:v>0.05</x:v>
      </x:c>
      <x:c r="F9" s="99" t="str">
        <x:v>HIGH</x:v>
      </x:c>
      <x:c r="G9" s="99" t="str">
        <x:v>Data Owner</x:v>
      </x:c>
      <x:c r="H9" s="99" t="str">
        <x:v>Activate input fallback and repair feed</x:v>
      </x:c>
      <x:c r="I9" s="99" t="n">
        <x:v>4</x:v>
      </x:c>
      <x:c r="J9" s="99" t="str">
        <x:v>MONITORING</x:v>
      </x:c>
    </x:row>
    <x:row r="10">
      <x:c r="A10" s="100" t="str">
        <x:v>INC-2026-004</x:v>
      </x:c>
      <x:c r="B10" s="100" t="str">
        <x:v>Score PSI</x:v>
      </x:c>
      <x:c r="C10" s="100" t="n">
        <x:v>0.281</x:v>
      </x:c>
      <x:c r="D10" s="100" t="n">
        <x:v>0.1</x:v>
      </x:c>
      <x:c r="E10" s="100" t="n">
        <x:v>0.25</x:v>
      </x:c>
      <x:c r="F10" s="100" t="str">
        <x:v>HIGH</x:v>
      </x:c>
      <x:c r="G10" s="100" t="str">
        <x:v>Model Monitoring</x:v>
      </x:c>
      <x:c r="H10" s="100" t="str">
        <x:v>Perform segment review and recalibration assessment</x:v>
      </x:c>
      <x:c r="I10" s="100" t="n">
        <x:v>24</x:v>
      </x:c>
      <x:c r="J10" s="100" t="str">
        <x:v>OPEN</x:v>
      </x:c>
    </x:row>
  </x:sheetData>
  <x:conditionalFormatting sqref="F7:F10">
    <x:cfRule type="containsText" dxfId="11" priority="1" operator="containsText" text="CRITICAL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 ht="27" customHeight="1">
      <x:c r="A2" s="154" t="str">
        <x:v>V7 TNEX Digital Lending Decisioning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TNEX-aligned synthetic portfolio • configurable product policy •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Metric</x:v>
      </x:c>
      <x:c r="B6" s="160" t="str">
        <x:v>Result</x:v>
      </x:c>
      <x:c r="D6" s="160" t="str">
        <x:v>Executive decision</x:v>
      </x:c>
      <x:c r="E6" s="160"/>
      <x:c r="F6" s="160"/>
      <x:c r="G6" s="160"/>
      <x:c r="H6" s="160"/>
    </x:row>
    <x:row r="7">
      <x:c r="A7" s="167" t="str">
        <x:v>Build</x:v>
      </x:c>
      <x:c r="B7" s="167" t="str">
        <x:v>V7.0</x:v>
      </x:c>
      <x:c r="D7" s="175" t="str">
        <x:v>PASS — SIMULATION. The design supports Cash Loan, BNPL and Business Loan through separate policies, independent fraud and credit scores, and a measured digital funnel. P95 orchestration remains below the five-second target.</x:v>
      </x:c>
      <x:c r="E7" s="175"/>
      <x:c r="F7" s="175"/>
      <x:c r="G7" s="175"/>
      <x:c r="H7" s="175"/>
    </x:row>
    <x:row r="8">
      <x:c r="A8" s="168" t="str">
        <x:v>Applications</x:v>
      </x:c>
      <x:c r="B8" s="168" t="n">
        <x:v>2400</x:v>
      </x:c>
      <x:c r="D8" s="175"/>
      <x:c r="E8" s="175"/>
      <x:c r="F8" s="175"/>
      <x:c r="G8" s="175"/>
      <x:c r="H8" s="175"/>
    </x:row>
    <x:row r="9">
      <x:c r="A9" s="168" t="str">
        <x:v>Products</x:v>
      </x:c>
      <x:c r="B9" s="168" t="n">
        <x:v>3</x:v>
      </x:c>
      <x:c r="D9" s="175"/>
      <x:c r="E9" s="175"/>
      <x:c r="F9" s="175"/>
      <x:c r="G9" s="175"/>
      <x:c r="H9" s="175"/>
    </x:row>
    <x:row r="10">
      <x:c r="A10" s="168" t="str">
        <x:v>Approval rate</x:v>
      </x:c>
      <x:c r="B10" s="170" t="n">
        <x:v>0.7270833333333333</x:v>
      </x:c>
    </x:row>
    <x:row r="11" ht="28" customHeight="1">
      <x:c r="A11" s="168" t="str">
        <x:v>Fraud decline rate</x:v>
      </x:c>
      <x:c r="B11" s="170" t="n">
        <x:v>0.00125</x:v>
      </x:c>
      <x:c r="D11" s="160" t="str">
        <x:v>Production boundary</x:v>
      </x:c>
      <x:c r="E11" s="160"/>
      <x:c r="F11" s="160"/>
      <x:c r="G11" s="160"/>
      <x:c r="H11" s="160"/>
    </x:row>
    <x:row r="12">
      <x:c r="A12" s="168" t="str">
        <x:v>P95 end-to-end</x:v>
      </x:c>
      <x:c r="B12" s="171" t="n">
        <x:v>1554.39464447734</x:v>
      </x:c>
      <x:c r="D12" s="179" t="str">
        <x:v>Replace synthetic data and public product assumptions; complete consent/privacy review, independent validation, live calibration, legal/compliance approval, ledger integration, shadow scoring and canary release before production use.</x:v>
      </x:c>
      <x:c r="E12" s="179"/>
      <x:c r="F12" s="179"/>
      <x:c r="G12" s="179"/>
      <x:c r="H12" s="179"/>
    </x:row>
    <x:row r="13">
      <x:c r="A13" s="168" t="str">
        <x:v>Start-to-disbursement</x:v>
      </x:c>
      <x:c r="B13" s="170" t="n">
        <x:v>0.4995833333333333</x:v>
      </x:c>
      <x:c r="D13" s="179"/>
      <x:c r="E13" s="179"/>
      <x:c r="F13" s="179"/>
      <x:c r="G13" s="179"/>
      <x:c r="H13" s="179"/>
    </x:row>
    <x:row r="14">
      <x:c r="A14" s="169" t="str">
        <x:v>Status</x:v>
      </x:c>
      <x:c r="B14" s="169" t="str">
        <x:v>PASS — SIMULATION</x:v>
      </x:c>
      <x:c r="D14" s="179"/>
      <x:c r="E14" s="179"/>
      <x:c r="F14" s="179"/>
      <x:c r="G14" s="179"/>
      <x:c r="H14" s="179"/>
    </x:row>
  </x:sheetData>
  <x:mergeCells>
    <x:mergeCell ref="A2:J2"/>
    <x:mergeCell ref="A3:J3"/>
    <x:mergeCell ref="D6:H6"/>
    <x:mergeCell ref="D7:H9"/>
    <x:mergeCell ref="D11:H11"/>
    <x:mergeCell ref="D12:H1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27" customHeight="1">
      <x:c r="A2" s="154" t="str">
        <x:v>Product Policy and Decision Performance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selector drives the formula-based executive view; limits and cut-offs are versioned assumptions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Selected product</x:v>
      </x:c>
      <x:c r="B6" s="181" t="str">
        <x:v>CASH_LOAN</x:v>
      </x:c>
      <x:c r="D6" s="160" t="str">
        <x:v>Applications</x:v>
      </x:c>
      <x:c r="E6" s="160" t="str">
        <x:v>Approval</x:v>
      </x:c>
      <x:c r="F6" s="160" t="str">
        <x:v>Fraud decline</x:v>
      </x:c>
      <x:c r="G6" s="160" t="str">
        <x:v>Approved limit</x:v>
      </x:c>
      <x:c r="H6" s="160" t="str">
        <x:v>P95 latency</x:v>
      </x:c>
    </x:row>
    <x:row r="7">
      <x:c r="D7" t="n">
        <x:f>SUMIF(A16:A18,B6,B16:B18)</x:f>
        <x:v>1329</x:v>
      </x:c>
      <x:c r="E7" s="124" t="n">
        <x:f>SUMIF(A16:A18,B6,C16:C18)</x:f>
        <x:v>0.7434161023325809</x:v>
      </x:c>
      <x:c r="F7" s="124" t="n">
        <x:f>SUMIF(A16:A18,B6,E16:E18)</x:f>
        <x:v>0.0007524454477050414</x:v>
      </x:c>
      <x:c r="G7" s="125" t="n">
        <x:f>SUMIF(A16:A18,B6,G16:G18)</x:f>
        <x:v>36444094895.94336</x:v>
      </x:c>
      <x:c r="H7" s="189" t="n">
        <x:f>SUMIF(A16:A18,B6,H16:H18)</x:f>
        <x:v>1554.4880939518785</x:v>
      </x:c>
    </x:row>
    <x:row r="9" ht="28" customHeight="1">
      <x:c r="A9" s="160" t="str">
        <x:v>Product</x:v>
      </x:c>
      <x:c r="B9" s="160" t="str">
        <x:v>Label</x:v>
      </x:c>
      <x:c r="C9" s="160" t="str">
        <x:v>Max limit</x:v>
      </x:c>
      <x:c r="D9" s="160" t="str">
        <x:v>Approve PD</x:v>
      </x:c>
      <x:c r="E9" s="160" t="str">
        <x:v>Review PD</x:v>
      </x:c>
      <x:c r="F9" s="160" t="str">
        <x:v>Fraud max</x:v>
      </x:c>
      <x:c r="G9" s="160" t="str">
        <x:v>Policy version</x:v>
      </x:c>
      <x:c r="H9" s="160" t="str">
        <x:v>Effective date</x:v>
      </x:c>
    </x:row>
    <x:row r="10">
      <x:c r="A10" s="167" t="str">
        <x:v>CASH_LOAN</x:v>
      </x:c>
      <x:c r="B10" s="167" t="str">
        <x:v>Cash Loan</x:v>
      </x:c>
      <x:c r="C10" s="182" t="n">
        <x:v>70000000</x:v>
      </x:c>
      <x:c r="D10" s="185" t="n">
        <x:v>0.12</x:v>
      </x:c>
      <x:c r="E10" s="185" t="n">
        <x:v>0.2</x:v>
      </x:c>
      <x:c r="F10" s="185" t="n">
        <x:v>0.35</x:v>
      </x:c>
      <x:c r="G10" s="167" t="str">
        <x:v>TNEX_SIM_1.0</x:v>
      </x:c>
      <x:c r="H10" s="167" t="str">
        <x:v>2026-09-24</x:v>
      </x:c>
    </x:row>
    <x:row r="11">
      <x:c r="A11" s="168" t="str">
        <x:v>BNPL</x:v>
      </x:c>
      <x:c r="B11" s="168" t="str">
        <x:v>Buy Now Pay Later</x:v>
      </x:c>
      <x:c r="C11" s="183" t="n">
        <x:v>25000000</x:v>
      </x:c>
      <x:c r="D11" s="170" t="n">
        <x:v>0.1</x:v>
      </x:c>
      <x:c r="E11" s="170" t="n">
        <x:v>0.17</x:v>
      </x:c>
      <x:c r="F11" s="170" t="n">
        <x:v>0.3</x:v>
      </x:c>
      <x:c r="G11" s="168" t="str">
        <x:v>TNEX_SIM_1.0</x:v>
      </x:c>
      <x:c r="H11" s="168" t="str">
        <x:v>2026-09-24</x:v>
      </x:c>
    </x:row>
    <x:row r="12">
      <x:c r="A12" s="169" t="str">
        <x:v>BUSINESS_LOAN</x:v>
      </x:c>
      <x:c r="B12" s="169" t="str">
        <x:v>Business Loan</x:v>
      </x:c>
      <x:c r="C12" s="184" t="n">
        <x:v>100000000</x:v>
      </x:c>
      <x:c r="D12" s="186" t="n">
        <x:v>0.14</x:v>
      </x:c>
      <x:c r="E12" s="186" t="n">
        <x:v>0.22</x:v>
      </x:c>
      <x:c r="F12" s="186" t="n">
        <x:v>0.35</x:v>
      </x:c>
      <x:c r="G12" s="169" t="str">
        <x:v>TNEX_SIM_1.0</x:v>
      </x:c>
      <x:c r="H12" s="169" t="str">
        <x:v>2026-09-24</x:v>
      </x:c>
    </x:row>
    <x:row r="15" ht="28" customHeight="1">
      <x:c r="A15" s="160" t="str">
        <x:v>Product</x:v>
      </x:c>
      <x:c r="B15" s="160" t="str">
        <x:v>Applications</x:v>
      </x:c>
      <x:c r="C15" s="160" t="str">
        <x:v>Approval</x:v>
      </x:c>
      <x:c r="D15" s="160" t="str">
        <x:v>Review</x:v>
      </x:c>
      <x:c r="E15" s="160" t="str">
        <x:v>Fraud decline</x:v>
      </x:c>
      <x:c r="F15" s="160" t="str">
        <x:v>Mean PD</x:v>
      </x:c>
      <x:c r="G15" s="160" t="str">
        <x:v>Approved limit</x:v>
      </x:c>
      <x:c r="H15" s="160" t="str">
        <x:v>P95 latency</x:v>
      </x:c>
    </x:row>
    <x:row r="16">
      <x:c r="A16" s="167" t="str">
        <x:v>BNPL</x:v>
      </x:c>
      <x:c r="B16" s="167" t="n">
        <x:v>707</x:v>
      </x:c>
      <x:c r="C16" s="185" t="n">
        <x:v>0.6463932107496464</x:v>
      </x:c>
      <x:c r="D16" s="185" t="n">
        <x:v>0.3507779349363508</x:v>
      </x:c>
      <x:c r="E16" s="185" t="n">
        <x:v>0.002828854314002829</x:v>
      </x:c>
      <x:c r="F16" s="185" t="n">
        <x:v>0.09282192711153395</x:v>
      </x:c>
      <x:c r="G16" s="182" t="n">
        <x:v>10520908898.1168</x:v>
      </x:c>
      <x:c r="H16" s="187" t="n">
        <x:v>1552.2444947029535</x:v>
      </x:c>
    </x:row>
    <x:row r="17">
      <x:c r="A17" s="168" t="str">
        <x:v>BUSINESS_LOAN</x:v>
      </x:c>
      <x:c r="B17" s="168" t="n">
        <x:v>364</x:v>
      </x:c>
      <x:c r="C17" s="170" t="n">
        <x:v>0.8241758241758241</x:v>
      </x:c>
      <x:c r="D17" s="170" t="n">
        <x:v>0.17582417582417584</x:v>
      </x:c>
      <x:c r="E17" s="170" t="n">
        <x:v>0</x:v>
      </x:c>
      <x:c r="F17" s="170" t="n">
        <x:v>0.09032659526868773</x:v>
      </x:c>
      <x:c r="G17" s="183" t="n">
        <x:v>11600194884.790161</x:v>
      </x:c>
      <x:c r="H17" s="171" t="n">
        <x:v>1556.0862329962922</x:v>
      </x:c>
    </x:row>
    <x:row r="18">
      <x:c r="A18" s="169" t="str">
        <x:v>CASH_LOAN</x:v>
      </x:c>
      <x:c r="B18" s="169" t="n">
        <x:v>1329</x:v>
      </x:c>
      <x:c r="C18" s="186" t="n">
        <x:v>0.7434161023325809</x:v>
      </x:c>
      <x:c r="D18" s="186" t="n">
        <x:v>0.2558314522197141</x:v>
      </x:c>
      <x:c r="E18" s="186" t="n">
        <x:v>0.0007524454477050414</x:v>
      </x:c>
      <x:c r="F18" s="186" t="n">
        <x:v>0.09302235951680006</x:v>
      </x:c>
      <x:c r="G18" s="184" t="n">
        <x:v>36444094895.94336</x:v>
      </x:c>
      <x:c r="H18" s="188" t="n">
        <x:v>1554.4880939518785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</x:cols>
  <x:sheetData>
    <x:row r="2" ht="27" customHeight="1">
      <x:c r="A2" s="154" t="str">
        <x:v>Digital Acquisition and Decision Funnel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Counts reconcile from application start through disbursement or activation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Stage</x:v>
      </x:c>
      <x:c r="B6" s="160" t="str">
        <x:v>Customers</x:v>
      </x:c>
      <x:c r="C6" s="160" t="str">
        <x:v>Conversion from prior</x:v>
      </x:c>
      <x:c r="D6" s="160" t="str">
        <x:v>Conversion from start</x:v>
      </x:c>
      <x:c r="F6" s="160" t="str">
        <x:v>Component</x:v>
      </x:c>
      <x:c r="G6" s="160" t="str">
        <x:v>P50 ms</x:v>
      </x:c>
      <x:c r="H6" s="160" t="str">
        <x:v>P95 ms</x:v>
      </x:c>
      <x:c r="I6" s="160" t="str">
        <x:v>SLA ms</x:v>
      </x:c>
    </x:row>
    <x:row r="7">
      <x:c r="A7" s="167" t="str">
        <x:v>Application started</x:v>
      </x:c>
      <x:c r="B7" s="167" t="n">
        <x:v>2400</x:v>
      </x:c>
      <x:c r="C7" s="185" t="n">
        <x:v>1</x:v>
      </x:c>
      <x:c r="D7" s="185" t="n">
        <x:v>1</x:v>
      </x:c>
      <x:c r="F7" s="167" t="str">
        <x:v>Ekyc</x:v>
      </x:c>
      <x:c r="G7" s="167" t="n">
        <x:v>617.1629538749689</x:v>
      </x:c>
      <x:c r="H7" s="167" t="n">
        <x:v>867.8085896544376</x:v>
      </x:c>
      <x:c r="I7" s="167"/>
    </x:row>
    <x:row r="8">
      <x:c r="A8" s="168" t="str">
        <x:v>Identity verified</x:v>
      </x:c>
      <x:c r="B8" s="168" t="n">
        <x:v>2184</x:v>
      </x:c>
      <x:c r="C8" s="170" t="n">
        <x:v>0.91</x:v>
      </x:c>
      <x:c r="D8" s="170" t="n">
        <x:v>0.91</x:v>
      </x:c>
      <x:c r="F8" s="168" t="str">
        <x:v>Feature</x:v>
      </x:c>
      <x:c r="G8" s="168" t="n">
        <x:v>310.8055765014749</x:v>
      </x:c>
      <x:c r="H8" s="168" t="n">
        <x:v>453.3591358064045</x:v>
      </x:c>
      <x:c r="I8" s="168"/>
    </x:row>
    <x:row r="9">
      <x:c r="A9" s="168" t="str">
        <x:v>Application submitted</x:v>
      </x:c>
      <x:c r="B9" s="168" t="n">
        <x:v>1965</x:v>
      </x:c>
      <x:c r="C9" s="170" t="n">
        <x:v>0.8997252747252747</x:v>
      </x:c>
      <x:c r="D9" s="170" t="n">
        <x:v>0.81875</x:v>
      </x:c>
      <x:c r="F9" s="168" t="str">
        <x:v>Fraud</x:v>
      </x:c>
      <x:c r="G9" s="168" t="n">
        <x:v>245.6719318707889</x:v>
      </x:c>
      <x:c r="H9" s="168" t="n">
        <x:v>350.9285510737022</x:v>
      </x:c>
      <x:c r="I9" s="168"/>
    </x:row>
    <x:row r="10">
      <x:c r="A10" s="168" t="str">
        <x:v>Decision rendered</x:v>
      </x:c>
      <x:c r="B10" s="168" t="n">
        <x:v>1965</x:v>
      </x:c>
      <x:c r="C10" s="170" t="n">
        <x:v>1</x:v>
      </x:c>
      <x:c r="D10" s="170" t="n">
        <x:v>0.81875</x:v>
      </x:c>
      <x:c r="F10" s="168" t="str">
        <x:v>Credit</x:v>
      </x:c>
      <x:c r="G10" s="168" t="n">
        <x:v>31.488829006483257</x:v>
      </x:c>
      <x:c r="H10" s="168" t="n">
        <x:v>45.52043692972955</x:v>
      </x:c>
      <x:c r="I10" s="168"/>
    </x:row>
    <x:row r="11">
      <x:c r="A11" s="168" t="str">
        <x:v>Approved</x:v>
      </x:c>
      <x:c r="B11" s="168" t="n">
        <x:v>1428</x:v>
      </x:c>
      <x:c r="C11" s="170" t="n">
        <x:v>0.7267175572519083</x:v>
      </x:c>
      <x:c r="D11" s="170" t="n">
        <x:v>0.595</x:v>
      </x:c>
      <x:c r="F11" s="168" t="str">
        <x:v>Policy Offer</x:v>
      </x:c>
      <x:c r="G11" s="168" t="n">
        <x:v>44.998008363988056</x:v>
      </x:c>
      <x:c r="H11" s="168" t="n">
        <x:v>64.68694639181548</x:v>
      </x:c>
      <x:c r="I11" s="168"/>
    </x:row>
    <x:row r="12">
      <x:c r="A12" s="169" t="str">
        <x:v>Disbursed / activated</x:v>
      </x:c>
      <x:c r="B12" s="169" t="n">
        <x:v>1199</x:v>
      </x:c>
      <x:c r="C12" s="186" t="n">
        <x:v>0.8396358543417367</x:v>
      </x:c>
      <x:c r="D12" s="186" t="n">
        <x:v>0.4995833333333333</x:v>
      </x:c>
      <x:c r="F12" s="169" t="str">
        <x:v>End To End</x:v>
      </x:c>
      <x:c r="G12" s="169" t="n">
        <x:v>1248.059361583587</x:v>
      </x:c>
      <x:c r="H12" s="169" t="n">
        <x:v>1554.39464447734</x:v>
      </x:c>
      <x:c r="I12" s="169" t="n">
        <x:v>5000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1" hidden="0" customWidth="1"/>
    <x:col min="11" max="11" width="22" hidden="0" customWidth="1"/>
  </x:cols>
  <x:sheetData>
    <x:row r="2" ht="27" customHeight="1">
      <x:c r="A2" s="154" t="str">
        <x:v>Repeat-customer and Collections Controls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Limit management is explainable; unresolved payments suppress automated collection reminders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Lifecycle action</x:v>
      </x:c>
      <x:c r="B6" s="160" t="str">
        <x:v>Customers</x:v>
      </x:c>
      <x:c r="C6" s="160" t="str">
        <x:v>Mean PD</x:v>
      </x:c>
      <x:c r="D6" s="160" t="str">
        <x:v>Mean on-time ratio</x:v>
      </x:c>
      <x:c r="F6" s="160" t="str">
        <x:v>Feature group</x:v>
      </x:c>
      <x:c r="G6" s="160" t="str">
        <x:v>Feature</x:v>
      </x:c>
      <x:c r="H6" s="160" t="str">
        <x:v>Freshness</x:v>
      </x:c>
      <x:c r="I6" s="160" t="str">
        <x:v>Consent</x:v>
      </x:c>
      <x:c r="J6" s="160" t="str">
        <x:v>Fallback</x:v>
      </x:c>
      <x:c r="K6" s="160" t="str">
        <x:v>Owner</x:v>
      </x:c>
    </x:row>
    <x:row r="7">
      <x:c r="A7" s="167" t="str">
        <x:v>INCREASE_LIMIT</x:v>
      </x:c>
      <x:c r="B7" s="167" t="n">
        <x:v>108</x:v>
      </x:c>
      <x:c r="C7" s="185" t="n">
        <x:v>0.04883205764443549</x:v>
      </x:c>
      <x:c r="D7" s="185" t="n">
        <x:v>0.9676716009118332</x:v>
      </x:c>
      <x:c r="F7" s="167" t="str">
        <x:v>Bureau</x:v>
      </x:c>
      <x:c r="G7" s="167" t="str">
        <x:v>bureau_score</x:v>
      </x:c>
      <x:c r="H7" s="167" t="str">
        <x:v>At decision</x:v>
      </x:c>
      <x:c r="I7" s="167" t="str">
        <x:v>No</x:v>
      </x:c>
      <x:c r="J7" s="167" t="str">
        <x:v>Refer / conservative policy</x:v>
      </x:c>
      <x:c r="K7" s="167" t="str">
        <x:v>Credit Risk</x:v>
      </x:c>
    </x:row>
    <x:row r="8">
      <x:c r="A8" s="168" t="str">
        <x:v>MAINTAIN</x:v>
      </x:c>
      <x:c r="B8" s="168" t="n">
        <x:v>637</x:v>
      </x:c>
      <x:c r="C8" s="170" t="n">
        <x:v>0.08441902407835644</x:v>
      </x:c>
      <x:c r="D8" s="170" t="n">
        <x:v>0.9086735162146622</x:v>
      </x:c>
      <x:c r="F8" s="168" t="str">
        <x:v>Transaction</x:v>
      </x:c>
      <x:c r="G8" s="168" t="str">
        <x:v>avg_balance_90d</x:v>
      </x:c>
      <x:c r="H8" s="168" t="str">
        <x:v>Daily</x:v>
      </x:c>
      <x:c r="I8" s="168" t="str">
        <x:v>Yes</x:v>
      </x:c>
      <x:c r="J8" s="168" t="str">
        <x:v>Income-only model</x:v>
      </x:c>
      <x:c r="K8" s="168" t="str">
        <x:v>Data Office</x:v>
      </x:c>
    </x:row>
    <x:row r="9">
      <x:c r="A9" s="168" t="str">
        <x:v>REDUCE_LIMIT</x:v>
      </x:c>
      <x:c r="B9" s="168" t="n">
        <x:v>410</x:v>
      </x:c>
      <x:c r="C9" s="170" t="n">
        <x:v>0.08198765143678068</x:v>
      </x:c>
      <x:c r="D9" s="170" t="n">
        <x:v>0.7921694974851533</x:v>
      </x:c>
      <x:c r="F9" s="168" t="str">
        <x:v>Transaction</x:v>
      </x:c>
      <x:c r="G9" s="168" t="str">
        <x:v>transaction_count_90d</x:v>
      </x:c>
      <x:c r="H9" s="168" t="str">
        <x:v>Daily</x:v>
      </x:c>
      <x:c r="I9" s="168" t="str">
        <x:v>Yes</x:v>
      </x:c>
      <x:c r="J9" s="168" t="str">
        <x:v>Bureau-only model</x:v>
      </x:c>
      <x:c r="K9" s="168" t="str">
        <x:v>Data Office</x:v>
      </x:c>
    </x:row>
    <x:row r="10">
      <x:c r="A10" s="169" t="str">
        <x:v>SUPPRESS_OFFER</x:v>
      </x:c>
      <x:c r="B10" s="169" t="n">
        <x:v>178</x:v>
      </x:c>
      <x:c r="C10" s="186" t="n">
        <x:v>0.17041001318370189</x:v>
      </x:c>
      <x:c r="D10" s="186" t="n">
        <x:v>0.7443250833451238</x:v>
      </x:c>
      <x:c r="F10" s="168" t="str">
        <x:v>Device</x:v>
      </x:c>
      <x:c r="G10" s="168" t="str">
        <x:v>device_age_days</x:v>
      </x:c>
      <x:c r="H10" s="168" t="str">
        <x:v>Real time</x:v>
      </x:c>
      <x:c r="I10" s="168" t="str">
        <x:v>Yes</x:v>
      </x:c>
      <x:c r="J10" s="168" t="str">
        <x:v>Step-up verification</x:v>
      </x:c>
      <x:c r="K10" s="168" t="str">
        <x:v>Fraud Risk</x:v>
      </x:c>
    </x:row>
    <x:row r="11">
      <x:c r="F11" s="168" t="str">
        <x:v>Identity</x:v>
      </x:c>
      <x:c r="G11" s="168" t="str">
        <x:v>identity_match_score</x:v>
      </x:c>
      <x:c r="H11" s="168" t="str">
        <x:v>Real time</x:v>
      </x:c>
      <x:c r="I11" s="168" t="str">
        <x:v>Yes</x:v>
      </x:c>
      <x:c r="J11" s="168" t="str">
        <x:v>Manual identity review</x:v>
      </x:c>
      <x:c r="K11" s="168" t="str">
        <x:v>Financial Crime</x:v>
      </x:c>
    </x:row>
    <x:row r="12">
      <x:c r="F12" s="168" t="str">
        <x:v>Business</x:v>
      </x:c>
      <x:c r="G12" s="168" t="str">
        <x:v>sales_monthly</x:v>
      </x:c>
      <x:c r="H12" s="168" t="str">
        <x:v>Daily</x:v>
      </x:c>
      <x:c r="I12" s="168" t="str">
        <x:v>Yes</x:v>
      </x:c>
      <x:c r="J12" s="168" t="str">
        <x:v>Manual bank-statement review</x:v>
      </x:c>
      <x:c r="K12" s="168" t="str">
        <x:v>Business Credit</x:v>
      </x:c>
    </x:row>
    <x:row r="13">
      <x:c r="F13" s="169" t="str">
        <x:v>Lifecycle</x:v>
      </x:c>
      <x:c r="G13" s="169" t="str">
        <x:v>prior_on_time_ratio</x:v>
      </x:c>
      <x:c r="H13" s="169" t="str">
        <x:v>Daily</x:v>
      </x:c>
      <x:c r="I13" s="169" t="str">
        <x:v>Yes</x:v>
      </x:c>
      <x:c r="J13" s="169" t="str">
        <x:v>No repeat-loan uplift</x:v>
      </x:c>
      <x:c r="K13" s="169" t="str">
        <x:v>Collections</x:v>
      </x:c>
    </x:row>
    <x:row r="14" ht="28" customHeight="1">
      <x:c r="A14" s="160" t="str">
        <x:v>Control</x:v>
      </x:c>
      <x:c r="B14" s="160" t="str">
        <x:v>Population</x:v>
      </x:c>
      <x:c r="C14" s="160" t="str">
        <x:v>Exceptions</x:v>
      </x:c>
      <x:c r="D14" s="160" t="str">
        <x:v>Exception rate</x:v>
      </x:c>
      <x:c r="E14" s="160" t="str">
        <x:v>SLA</x:v>
      </x:c>
      <x:c r="F14" s="160" t="str">
        <x:v>Action</x:v>
      </x:c>
      <x:c r="G14" s="160" t="str">
        <x:v>Status</x:v>
      </x:c>
    </x:row>
    <x:row r="15">
      <x:c r="A15" s="167" t="str">
        <x:v>Payment posting reconciliation</x:v>
      </x:c>
      <x:c r="B15" s="167" t="n">
        <x:v>1840</x:v>
      </x:c>
      <x:c r="C15" s="167" t="n">
        <x:v>21</x:v>
      </x:c>
      <x:c r="D15" s="185" t="n">
        <x:v>0.01141304347826087</x:v>
      </x:c>
      <x:c r="E15" s="167" t="str">
        <x:v>T+1</x:v>
      </x:c>
      <x:c r="F15" s="167" t="str">
        <x:v>Suspend reminders until ledger match</x:v>
      </x:c>
      <x:c r="G15" s="167" t="str">
        <x:v>PASS</x:v>
      </x:c>
    </x:row>
    <x:row r="16">
      <x:c r="A16" s="168" t="str">
        <x:v>Reminder suppression</x:v>
      </x:c>
      <x:c r="B16" s="168" t="n">
        <x:v>21</x:v>
      </x:c>
      <x:c r="C16" s="168" t="n">
        <x:v>0</x:v>
      </x:c>
      <x:c r="D16" s="170" t="n">
        <x:v>0</x:v>
      </x:c>
      <x:c r="E16" s="168" t="str">
        <x:v>Immediate</x:v>
      </x:c>
      <x:c r="F16" s="168" t="str">
        <x:v>No collection message on unresolved payment</x:v>
      </x:c>
      <x:c r="G16" s="168" t="str">
        <x:v>PASS</x:v>
      </x:c>
    </x:row>
    <x:row r="17">
      <x:c r="A17" s="168" t="str">
        <x:v>Hardship / complaint routing</x:v>
      </x:c>
      <x:c r="B17" s="168" t="n">
        <x:v>63</x:v>
      </x:c>
      <x:c r="C17" s="168" t="n">
        <x:v>2</x:v>
      </x:c>
      <x:c r="D17" s="170" t="n">
        <x:v>0.031746031746031744</x:v>
      </x:c>
      <x:c r="E17" s="168" t="str">
        <x:v>4 hours</x:v>
      </x:c>
      <x:c r="F17" s="168" t="str">
        <x:v>Specialist review and vulnerability flag</x:v>
      </x:c>
      <x:c r="G17" s="168" t="str">
        <x:v>AMBER</x:v>
      </x:c>
    </x:row>
    <x:row r="18">
      <x:c r="A18" s="169" t="str">
        <x:v>Promise-to-pay monitoring</x:v>
      </x:c>
      <x:c r="B18" s="169" t="n">
        <x:v>214</x:v>
      </x:c>
      <x:c r="C18" s="169" t="n">
        <x:v>8</x:v>
      </x:c>
      <x:c r="D18" s="186" t="n">
        <x:v>0.037383177570093455</x:v>
      </x:c>
      <x:c r="E18" s="169" t="str">
        <x:v>Daily</x:v>
      </x:c>
      <x:c r="F18" s="169" t="str">
        <x:v>Re-segment and next-best action</x:v>
      </x:c>
      <x:c r="G18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 ht="27" customHeight="1">
      <x:c r="A2" s="154" t="str">
        <x:v>V8 TNEX Digital Lending Operating System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Interactive synthetic portfolio;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Metric</x:v>
      </x:c>
      <x:c r="B6" s="194" t="str">
        <x:v>Result</x:v>
      </x:c>
      <x:c r="D6" s="194" t="str">
        <x:v>Operating conclusion</x:v>
      </x:c>
      <x:c r="E6" s="194"/>
      <x:c r="F6" s="194"/>
      <x:c r="G6" s="194"/>
      <x:c r="H6" s="194"/>
    </x:row>
    <x:row r="7">
      <x:c r="A7" s="167" t="str">
        <x:v>Build</x:v>
      </x:c>
      <x:c r="B7" s="167" t="str">
        <x:v>V8.0</x:v>
      </x:c>
      <x:c r="D7" s="198" t="str">
        <x:v>V8 combines live product decisions, separate product calibration evidence, linked-device fraud intelligence, constrained risk–profit optimization and collections next-best-action. Pending payments suppress automated contact until reconciliation.</x:v>
      </x:c>
      <x:c r="E7" s="198"/>
      <x:c r="F7" s="198"/>
      <x:c r="G7" s="198"/>
      <x:c r="H7" s="198"/>
    </x:row>
    <x:row r="8">
      <x:c r="A8" s="168" t="str">
        <x:v>Products</x:v>
      </x:c>
      <x:c r="B8" s="168" t="n">
        <x:v>3</x:v>
      </x:c>
      <x:c r="D8" s="198"/>
      <x:c r="E8" s="198"/>
      <x:c r="F8" s="198"/>
      <x:c r="G8" s="198"/>
      <x:c r="H8" s="198"/>
    </x:row>
    <x:row r="9">
      <x:c r="A9" s="168" t="str">
        <x:v>Product models</x:v>
      </x:c>
      <x:c r="B9" s="168" t="n">
        <x:v>3</x:v>
      </x:c>
      <x:c r="D9" s="198"/>
      <x:c r="E9" s="198"/>
      <x:c r="F9" s="198"/>
      <x:c r="G9" s="198"/>
      <x:c r="H9" s="198"/>
    </x:row>
    <x:row r="10">
      <x:c r="A10" s="168" t="str">
        <x:v>Fraud clusters</x:v>
      </x:c>
      <x:c r="B10" s="168" t="n">
        <x:v>13</x:v>
      </x:c>
      <x:c r="D10" s="198"/>
      <x:c r="E10" s="198"/>
      <x:c r="F10" s="198"/>
      <x:c r="G10" s="198"/>
      <x:c r="H10" s="198"/>
    </x:row>
    <x:row r="11">
      <x:c r="A11" s="168" t="str">
        <x:v>Recommended credit cut-off</x:v>
      </x:c>
      <x:c r="B11" s="170" t="n">
        <x:v>0.12</x:v>
      </x:c>
    </x:row>
    <x:row r="12" ht="28" customHeight="1">
      <x:c r="A12" s="168" t="str">
        <x:v>Recommended fraud cut-off</x:v>
      </x:c>
      <x:c r="B12" s="170" t="n">
        <x:v>0.3</x:v>
      </x:c>
      <x:c r="D12" s="194" t="str">
        <x:v>Production requirements</x:v>
      </x:c>
      <x:c r="E12" s="194"/>
      <x:c r="F12" s="194"/>
      <x:c r="G12" s="194"/>
      <x:c r="H12" s="194"/>
    </x:row>
    <x:row r="13">
      <x:c r="A13" s="168" t="str">
        <x:v>Recommended approval rate</x:v>
      </x:c>
      <x:c r="B13" s="170" t="n">
        <x:v>0.75</x:v>
      </x:c>
      <x:c r="D13" s="202" t="str">
        <x:v>Use approved data, independently validate each model, complete privacy and consent assessment, calibrate unit economics, integrate the ledger, and complete shadow and canary releases.</x:v>
      </x:c>
      <x:c r="E13" s="202"/>
      <x:c r="F13" s="202"/>
      <x:c r="G13" s="202"/>
      <x:c r="H13" s="202"/>
    </x:row>
    <x:row r="14">
      <x:c r="A14" s="168" t="str">
        <x:v>Recommended contribution</x:v>
      </x:c>
      <x:c r="B14" s="183" t="n">
        <x:v>6422416427.439102</x:v>
      </x:c>
      <x:c r="D14" s="202"/>
      <x:c r="E14" s="202"/>
      <x:c r="F14" s="202"/>
      <x:c r="G14" s="202"/>
      <x:c r="H14" s="202"/>
    </x:row>
    <x:row r="15">
      <x:c r="A15" s="169" t="str">
        <x:v>Recommended RAROC</x:v>
      </x:c>
      <x:c r="B15" s="186" t="n">
        <x:v>1.077471656944402</x:v>
      </x:c>
      <x:c r="D15" s="202"/>
      <x:c r="E15" s="202"/>
      <x:c r="F15" s="202"/>
      <x:c r="G15" s="202"/>
      <x:c r="H15" s="202"/>
    </x:row>
  </x:sheetData>
  <x:mergeCells>
    <x:mergeCell ref="A2:J2"/>
    <x:mergeCell ref="A3:J3"/>
    <x:mergeCell ref="D6:H6"/>
    <x:mergeCell ref="D7:H10"/>
    <x:mergeCell ref="D12:H12"/>
    <x:mergeCell ref="D13:H15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 ht="27" customHeight="1">
      <x:c r="A2" s="154" t="str">
        <x:v>Risk and Profit Strategy Optimizer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cells are editable; formulas retrieve the matching simulated strategy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Selected credit cut-off</x:v>
      </x:c>
      <x:c r="B6" s="205" t="n">
        <x:v>0.12</x:v>
      </x:c>
      <x:c r="C6" s="194" t="str">
        <x:v>Selected fraud cut-off</x:v>
      </x:c>
      <x:c r="D6" s="205" t="n">
        <x:v>0.3</x:v>
      </x:c>
    </x:row>
    <x:row r="8" ht="28" customHeight="1">
      <x:c r="A8" s="194" t="str">
        <x:v>Approval rate</x:v>
      </x:c>
      <x:c r="B8" s="194" t="str">
        <x:v>Approved accounts</x:v>
      </x:c>
      <x:c r="C8" s="194" t="str">
        <x:v>Approved exposure</x:v>
      </x:c>
      <x:c r="D8" s="194" t="str">
        <x:v>Expected credit loss</x:v>
      </x:c>
      <x:c r="E8" s="194" t="str">
        <x:v>Expected fraud loss</x:v>
      </x:c>
      <x:c r="F8" s="194" t="str">
        <x:v>Contribution</x:v>
      </x:c>
      <x:c r="G8" s="194" t="str">
        <x:v>RAROC</x:v>
      </x:c>
      <x:c r="H8" s="194" t="str">
        <x:v>Recommendation</x:v>
      </x:c>
    </x:row>
    <x:row r="9">
      <x:c r="A9" s="124" t="n">
        <x:f>SUMIFS(D14:D28,A14:A28,$B$6,B14:B28,$D$6)</x:f>
        <x:v>0.75</x:v>
      </x:c>
      <x:c r="B9" t="n">
        <x:f>SUMIFS(E14:E28,A14:A28,$B$6,B14:B28,$D$6)</x:f>
        <x:v>1800</x:v>
      </x:c>
      <x:c r="C9" s="125" t="n">
        <x:f>SUMIFS(F14:F28,A14:A28,$B$6,B14:B28,$D$6)</x:f>
        <x:v>59606360743.1903</x:v>
      </x:c>
      <x:c r="D9" s="125" t="n">
        <x:f>SUMIFS(G14:G28,A14:A28,$B$6,B14:B28,$D$6)</x:f>
        <x:v>2095872905.4822197</x:v>
      </x:c>
      <x:c r="E9" s="125" t="n">
        <x:f>SUMIFS(H14:H28,A14:A28,$B$6,B14:B28,$D$6)</x:f>
        <x:v>513696582.2731738</x:v>
      </x:c>
      <x:c r="F9" s="125" t="n">
        <x:f>SUMIFS(I14:I28,A14:A28,$B$6,B14:B28,$D$6)</x:f>
        <x:v>6422416427.439102</x:v>
      </x:c>
      <x:c r="G9" s="124" t="n">
        <x:f>SUMIFS(J14:J28,A14:A28,$B$6,B14:B28,$D$6)</x:f>
        <x:v>1.077471656944402</x:v>
      </x:c>
      <x:c r="H9" t="str">
        <x:f>IF(AND(B6=12%,D6=30%),"RECOMMENDED","ALTERNATIVE")</x:f>
        <x:v>RECOMMENDED</x:v>
      </x:c>
    </x:row>
    <x:row r="13" ht="28" customHeight="1">
      <x:c r="A13" s="194" t="str">
        <x:v>Credit cut-off</x:v>
      </x:c>
      <x:c r="B13" s="194" t="str">
        <x:v>Fraud cut-off</x:v>
      </x:c>
      <x:c r="C13" s="194" t="str">
        <x:v>Recommended</x:v>
      </x:c>
      <x:c r="D13" s="194" t="str">
        <x:v>Approval rate</x:v>
      </x:c>
      <x:c r="E13" s="194" t="str">
        <x:v>Accounts</x:v>
      </x:c>
      <x:c r="F13" s="194" t="str">
        <x:v>Exposure</x:v>
      </x:c>
      <x:c r="G13" s="194" t="str">
        <x:v>Expected loss</x:v>
      </x:c>
      <x:c r="H13" s="194" t="str">
        <x:v>Fraud loss</x:v>
      </x:c>
      <x:c r="I13" s="194" t="str">
        <x:v>Contribution</x:v>
      </x:c>
      <x:c r="J13" s="194" t="str">
        <x:v>RAROC</x:v>
      </x:c>
    </x:row>
    <x:row r="14">
      <x:c r="A14" s="185" t="n">
        <x:v>0.08</x:v>
      </x:c>
      <x:c r="B14" s="185" t="n">
        <x:v>0.2</x:v>
      </x:c>
      <x:c r="C14" s="214" t="b">
        <x:v>0</x:v>
      </x:c>
      <x:c r="D14" s="185" t="n">
        <x:v>0.5158333333333334</x:v>
      </x:c>
      <x:c r="E14" s="167" t="n">
        <x:v>1238</x:v>
      </x:c>
      <x:c r="F14" s="182" t="n">
        <x:v>41733701069.17472</x:v>
      </x:c>
      <x:c r="G14" s="182" t="n">
        <x:v>1138583591.8721457</x:v>
      </x:c>
      <x:c r="H14" s="182" t="n">
        <x:v>344551587.4392857</x:v>
      </x:c>
      <x:c r="I14" s="182" t="n">
        <x:v>4843218486.410649</x:v>
      </x:c>
      <x:c r="J14" s="185" t="n">
        <x:v>1.1605053858949355</x:v>
      </x:c>
    </x:row>
    <x:row r="15">
      <x:c r="A15" s="170" t="n">
        <x:v>0.08</x:v>
      </x:c>
      <x:c r="B15" s="170" t="n">
        <x:v>0.3</x:v>
      </x:c>
      <x:c r="C15" s="215" t="b">
        <x:v>0</x:v>
      </x:c>
      <x:c r="D15" s="170" t="n">
        <x:v>0.5208333333333334</x:v>
      </x:c>
      <x:c r="E15" s="168" t="n">
        <x:v>1250</x:v>
      </x:c>
      <x:c r="F15" s="183" t="n">
        <x:v>42076857369.42048</x:v>
      </x:c>
      <x:c r="G15" s="183" t="n">
        <x:v>1149159222.7677794</x:v>
      </x:c>
      <x:c r="H15" s="183" t="n">
        <x:v>359310911.7630405</x:v>
      </x:c>
      <x:c r="I15" s="183" t="n">
        <x:v>4869692757.729353</x:v>
      </x:c>
      <x:c r="J15" s="170" t="n">
        <x:v>1.1573328100468885</x:v>
      </x:c>
    </x:row>
    <x:row r="16">
      <x:c r="A16" s="170" t="n">
        <x:v>0.08</x:v>
      </x:c>
      <x:c r="B16" s="170" t="n">
        <x:v>0.4</x:v>
      </x:c>
      <x:c r="C16" s="215" t="b">
        <x:v>0</x:v>
      </x:c>
      <x:c r="D16" s="170" t="n">
        <x:v>0.5225</x:v>
      </x:c>
      <x:c r="E16" s="168" t="n">
        <x:v>1254</x:v>
      </x:c>
      <x:c r="F16" s="183" t="n">
        <x:v>42276054279.42048</x:v>
      </x:c>
      <x:c r="G16" s="183" t="n">
        <x:v>1152989614.0138083</x:v>
      </x:c>
      <x:c r="H16" s="183" t="n">
        <x:v>370805761.48711216</x:v>
      </x:c>
      <x:c r="I16" s="183" t="n">
        <x:v>4884783037.809255</x:v>
      </x:c>
      <x:c r="J16" s="170" t="n">
        <x:v>1.1554491357030718</x:v>
      </x:c>
    </x:row>
    <x:row r="17">
      <x:c r="A17" s="170" t="n">
        <x:v>0.1</x:v>
      </x:c>
      <x:c r="B17" s="170" t="n">
        <x:v>0.2</x:v>
      </x:c>
      <x:c r="C17" s="215" t="b">
        <x:v>0</x:v>
      </x:c>
      <x:c r="D17" s="170" t="n">
        <x:v>0.6433333333333333</x:v>
      </x:c>
      <x:c r="E17" s="168" t="n">
        <x:v>1544</x:v>
      </x:c>
      <x:c r="F17" s="183" t="n">
        <x:v>51555652820.71001</x:v>
      </x:c>
      <x:c r="G17" s="183" t="n">
        <x:v>1621275018.436027</x:v>
      </x:c>
      <x:c r="H17" s="183" t="n">
        <x:v>426481113.781216</x:v>
      </x:c>
      <x:c r="I17" s="183" t="n">
        <x:v>5765810054.992807</x:v>
      </x:c>
      <x:c r="J17" s="170" t="n">
        <x:v>1.1183662197128983</x:v>
      </x:c>
    </x:row>
    <x:row r="18">
      <x:c r="A18" s="170" t="n">
        <x:v>0.1</x:v>
      </x:c>
      <x:c r="B18" s="170" t="n">
        <x:v>0.3</x:v>
      </x:c>
      <x:c r="C18" s="215" t="b">
        <x:v>0</x:v>
      </x:c>
      <x:c r="D18" s="170" t="n">
        <x:v>0.6495833333333333</x:v>
      </x:c>
      <x:c r="E18" s="168" t="n">
        <x:v>1559</x:v>
      </x:c>
      <x:c r="F18" s="183" t="n">
        <x:v>52012962264.940094</x:v>
      </x:c>
      <x:c r="G18" s="183" t="n">
        <x:v>1637357229.0485191</x:v>
      </x:c>
      <x:c r="H18" s="183" t="n">
        <x:v>446670048.432392</x:v>
      </x:c>
      <x:c r="I18" s="183" t="n">
        <x:v>5798696873.584804</x:v>
      </x:c>
      <x:c r="J18" s="170" t="n">
        <x:v>1.1148561091459845</x:v>
      </x:c>
    </x:row>
    <x:row r="19">
      <x:c r="A19" s="170" t="n">
        <x:v>0.1</x:v>
      </x:c>
      <x:c r="B19" s="170" t="n">
        <x:v>0.4</x:v>
      </x:c>
      <x:c r="C19" s="215" t="b">
        <x:v>0</x:v>
      </x:c>
      <x:c r="D19" s="170" t="n">
        <x:v>0.65125</x:v>
      </x:c>
      <x:c r="E19" s="168" t="n">
        <x:v>1563</x:v>
      </x:c>
      <x:c r="F19" s="183" t="n">
        <x:v>52212159174.940094</x:v>
      </x:c>
      <x:c r="G19" s="183" t="n">
        <x:v>1641187620.2945478</x:v>
      </x:c>
      <x:c r="H19" s="183" t="n">
        <x:v>458164898.1564637</x:v>
      </x:c>
      <x:c r="I19" s="183" t="n">
        <x:v>5813787153.664702</x:v>
      </x:c>
      <x:c r="J19" s="170" t="n">
        <x:v>1.113492957490083</x:v>
      </x:c>
    </x:row>
    <x:row r="20">
      <x:c r="A20" s="170" t="n">
        <x:v>0.12</x:v>
      </x:c>
      <x:c r="B20" s="170" t="n">
        <x:v>0.2</x:v>
      </x:c>
      <x:c r="C20" s="215" t="b">
        <x:v>0</x:v>
      </x:c>
      <x:c r="D20" s="170" t="n">
        <x:v>0.7429166666666667</x:v>
      </x:c>
      <x:c r="E20" s="168" t="n">
        <x:v>1783</x:v>
      </x:c>
      <x:c r="F20" s="183" t="n">
        <x:v>59079817998.93682</x:v>
      </x:c>
      <x:c r="G20" s="183" t="n">
        <x:v>2075817720.0106964</x:v>
      </x:c>
      <x:c r="H20" s="183" t="n">
        <x:v>490151589.71981895</x:v>
      </x:c>
      <x:c r="I20" s="183" t="n">
        <x:v>6386357480.1046915</x:v>
      </x:c>
      <x:c r="J20" s="170" t="n">
        <x:v>1.0809710822432828</x:v>
      </x:c>
    </x:row>
    <x:row r="21">
      <x:c r="A21" s="170" t="n">
        <x:v>0.12</x:v>
      </x:c>
      <x:c r="B21" s="170" t="n">
        <x:v>0.3</x:v>
      </x:c>
      <x:c r="C21" s="215" t="b">
        <x:v>1</x:v>
      </x:c>
      <x:c r="D21" s="170" t="n">
        <x:v>0.75</x:v>
      </x:c>
      <x:c r="E21" s="168" t="n">
        <x:v>1800</x:v>
      </x:c>
      <x:c r="F21" s="183" t="n">
        <x:v>59606360743.1903</x:v>
      </x:c>
      <x:c r="G21" s="183" t="n">
        <x:v>2095872905.4822197</x:v>
      </x:c>
      <x:c r="H21" s="183" t="n">
        <x:v>513696582.2731738</x:v>
      </x:c>
      <x:c r="I21" s="183" t="n">
        <x:v>6422416427.439102</x:v>
      </x:c>
      <x:c r="J21" s="170" t="n">
        <x:v>1.077471656944402</x:v>
      </x:c>
    </x:row>
    <x:row r="22">
      <x:c r="A22" s="170" t="n">
        <x:v>0.12</x:v>
      </x:c>
      <x:c r="B22" s="170" t="n">
        <x:v>0.4</x:v>
      </x:c>
      <x:c r="C22" s="215" t="b">
        <x:v>0</x:v>
      </x:c>
      <x:c r="D22" s="170" t="n">
        <x:v>0.7525</x:v>
      </x:c>
      <x:c r="E22" s="168" t="n">
        <x:v>1806</x:v>
      </x:c>
      <x:c r="F22" s="183" t="n">
        <x:v>59890609751.24746</x:v>
      </x:c>
      <x:c r="G22" s="183" t="n">
        <x:v>2105279086.2062948</x:v>
      </x:c>
      <x:c r="H22" s="183" t="n">
        <x:v>530425682.65534854</x:v>
      </x:c>
      <x:c r="I22" s="183" t="n">
        <x:v>6439649742.581711</x:v>
      </x:c>
      <x:c r="J22" s="170" t="n">
        <x:v>1.0752352947028694</x:v>
      </x:c>
    </x:row>
    <x:row r="23">
      <x:c r="A23" s="170" t="n">
        <x:v>0.14</x:v>
      </x:c>
      <x:c r="B23" s="170" t="n">
        <x:v>0.2</x:v>
      </x:c>
      <x:c r="C23" s="215" t="b">
        <x:v>0</x:v>
      </x:c>
      <x:c r="D23" s="170" t="n">
        <x:v>0.8170833333333334</x:v>
      </x:c>
      <x:c r="E23" s="168" t="n">
        <x:v>1961</x:v>
      </x:c>
      <x:c r="F23" s="183" t="n">
        <x:v>64206434815.87912</x:v>
      </x:c>
      <x:c r="G23" s="183" t="n">
        <x:v>2439901331.2183237</x:v>
      </x:c>
      <x:c r="H23" s="183" t="n">
        <x:v>535216198.61353856</x:v>
      </x:c>
      <x:c r="I23" s="183" t="n">
        <x:v>6751364866.629398</x:v>
      </x:c>
      <x:c r="J23" s="170" t="n">
        <x:v>1.0515090716358688</x:v>
      </x:c>
    </x:row>
    <x:row r="24">
      <x:c r="A24" s="170" t="n">
        <x:v>0.14</x:v>
      </x:c>
      <x:c r="B24" s="170" t="n">
        <x:v>0.3</x:v>
      </x:c>
      <x:c r="C24" s="215" t="b">
        <x:v>0</x:v>
      </x:c>
      <x:c r="D24" s="170" t="n">
        <x:v>0.8245833333333333</x:v>
      </x:c>
      <x:c r="E24" s="168" t="n">
        <x:v>1979</x:v>
      </x:c>
      <x:c r="F24" s="183" t="n">
        <x:v>64768002542.17261</x:v>
      </x:c>
      <x:c r="G24" s="183" t="n">
        <x:v>2462477088.6983023</x:v>
      </x:c>
      <x:c r="H24" s="183" t="n">
        <x:v>560031520.8034365</x:v>
      </x:c>
      <x:c r="I24" s="183" t="n">
        <x:v>6788946784.535014</x:v>
      </x:c>
      <x:c r="J24" s="170" t="n">
        <x:v>1.0481945587428767</x:v>
      </x:c>
    </x:row>
    <x:row r="25">
      <x:c r="A25" s="170" t="n">
        <x:v>0.14</x:v>
      </x:c>
      <x:c r="B25" s="170" t="n">
        <x:v>0.4</x:v>
      </x:c>
      <x:c r="C25" s="215" t="b">
        <x:v>0</x:v>
      </x:c>
      <x:c r="D25" s="170" t="n">
        <x:v>0.8270833333333333</x:v>
      </x:c>
      <x:c r="E25" s="168" t="n">
        <x:v>1985</x:v>
      </x:c>
      <x:c r="F25" s="183" t="n">
        <x:v>65052251550.22977</x:v>
      </x:c>
      <x:c r="G25" s="183" t="n">
        <x:v>2471883269.4223776</x:v>
      </x:c>
      <x:c r="H25" s="183" t="n">
        <x:v>576760621.1856112</x:v>
      </x:c>
      <x:c r="I25" s="183" t="n">
        <x:v>6806180099.677626</x:v>
      </x:c>
      <x:c r="J25" s="170" t="n">
        <x:v>1.0462635708192618</x:v>
      </x:c>
    </x:row>
    <x:row r="26">
      <x:c r="A26" s="170" t="n">
        <x:v>0.16</x:v>
      </x:c>
      <x:c r="B26" s="170" t="n">
        <x:v>0.2</x:v>
      </x:c>
      <x:c r="C26" s="215" t="b">
        <x:v>0</x:v>
      </x:c>
      <x:c r="D26" s="170" t="n">
        <x:v>0.875</x:v>
      </x:c>
      <x:c r="E26" s="168" t="n">
        <x:v>2100</x:v>
      </x:c>
      <x:c r="F26" s="183" t="n">
        <x:v>68321850385.06142</x:v>
      </x:c>
      <x:c r="G26" s="183" t="n">
        <x:v>2780274832.3650217</x:v>
      </x:c>
      <x:c r="H26" s="183" t="n">
        <x:v>572477298.5557286</x:v>
      </x:c>
      <x:c r="I26" s="183" t="n">
        <x:v>6995634678.763767</x:v>
      </x:c>
      <x:c r="J26" s="170" t="n">
        <x:v>1.0239234797266796</x:v>
      </x:c>
    </x:row>
    <x:row r="27">
      <x:c r="A27" s="170" t="n">
        <x:v>0.16</x:v>
      </x:c>
      <x:c r="B27" s="170" t="n">
        <x:v>0.3</x:v>
      </x:c>
      <x:c r="C27" s="215" t="b">
        <x:v>0</x:v>
      </x:c>
      <x:c r="D27" s="170" t="n">
        <x:v>0.8825</x:v>
      </x:c>
      <x:c r="E27" s="168" t="n">
        <x:v>2118</x:v>
      </x:c>
      <x:c r="F27" s="183" t="n">
        <x:v>68883418111.35492</x:v>
      </x:c>
      <x:c r="G27" s="183" t="n">
        <x:v>2802850589.8450003</x:v>
      </x:c>
      <x:c r="H27" s="183" t="n">
        <x:v>597292620.7456264</x:v>
      </x:c>
      <x:c r="I27" s="183" t="n">
        <x:v>7033216596.669385</x:v>
      </x:c>
      <x:c r="J27" s="170" t="n">
        <x:v>1.0210318810398886</x:v>
      </x:c>
    </x:row>
    <x:row r="28">
      <x:c r="A28" s="186" t="n">
        <x:v>0.16</x:v>
      </x:c>
      <x:c r="B28" s="186" t="n">
        <x:v>0.4</x:v>
      </x:c>
      <x:c r="C28" s="216" t="b">
        <x:v>0</x:v>
      </x:c>
      <x:c r="D28" s="186" t="n">
        <x:v>0.885</x:v>
      </x:c>
      <x:c r="E28" s="169" t="n">
        <x:v>2124</x:v>
      </x:c>
      <x:c r="F28" s="184" t="n">
        <x:v>69167667119.41208</x:v>
      </x:c>
      <x:c r="G28" s="184" t="n">
        <x:v>2812256770.5690756</x:v>
      </x:c>
      <x:c r="H28" s="184" t="n">
        <x:v>614021721.1278012</x:v>
      </x:c>
      <x:c r="I28" s="184" t="n">
        <x:v>7050449911.811993</x:v>
      </x:c>
      <x:c r="J28" s="186" t="n">
        <x:v>1.019327411988609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 ht="27" customHeight="1">
      <x:c r="A2" s="154" t="str">
        <x:v>Live Decision Examples and Product Models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Representative synthetic applications show auditable model and policy outputs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Application</x:v>
      </x:c>
      <x:c r="B6" s="194" t="str">
        <x:v>Product</x:v>
      </x:c>
      <x:c r="C6" s="194" t="str">
        <x:v>Decision</x:v>
      </x:c>
      <x:c r="D6" s="194" t="str">
        <x:v>Primary reason</x:v>
      </x:c>
      <x:c r="E6" s="194" t="str">
        <x:v>Base PD</x:v>
      </x:c>
      <x:c r="F6" s="194" t="str">
        <x:v>Product PD</x:v>
      </x:c>
      <x:c r="G6" s="194" t="str">
        <x:v>Score</x:v>
      </x:c>
      <x:c r="H6" s="194" t="str">
        <x:v>Fraud score</x:v>
      </x:c>
      <x:c r="I6" s="194" t="str">
        <x:v>Approved limit</x:v>
      </x:c>
      <x:c r="J6" s="194" t="str">
        <x:v>Policy version</x:v>
      </x:c>
    </x:row>
    <x:row r="7">
      <x:c r="A7" s="167" t="str">
        <x:v>SIM-7ddc946e7b</x:v>
      </x:c>
      <x:c r="B7" s="167" t="str">
        <x:v>BNPL</x:v>
      </x:c>
      <x:c r="C7" s="167" t="str">
        <x:v>APPROVE</x:v>
      </x:c>
      <x:c r="D7" s="167" t="str">
        <x:v>POLICY_PASS</x:v>
      </x:c>
      <x:c r="E7" s="185" t="n">
        <x:v>0.10039</x:v>
      </x:c>
      <x:c r="F7" s="185" t="n">
        <x:v>0.05092</x:v>
      </x:c>
      <x:c r="G7" s="167" t="n">
        <x:v>595</x:v>
      </x:c>
      <x:c r="H7" s="185" t="n">
        <x:v>0.021499</x:v>
      </x:c>
      <x:c r="I7" s="182" t="n">
        <x:v>25000000</x:v>
      </x:c>
      <x:c r="J7" s="167" t="str">
        <x:v>TNEX_SIM_2.0</x:v>
      </x:c>
    </x:row>
    <x:row r="8">
      <x:c r="A8" s="168" t="str">
        <x:v>SIM-c0aea20ad9</x:v>
      </x:c>
      <x:c r="B8" s="168" t="str">
        <x:v>BUSINESS_LOAN</x:v>
      </x:c>
      <x:c r="C8" s="168" t="str">
        <x:v>APPROVE</x:v>
      </x:c>
      <x:c r="D8" s="168" t="str">
        <x:v>POLICY_PASS</x:v>
      </x:c>
      <x:c r="E8" s="170" t="n">
        <x:v>0.070913</x:v>
      </x:c>
      <x:c r="F8" s="170" t="n">
        <x:v>0.044621</x:v>
      </x:c>
      <x:c r="G8" s="168" t="n">
        <x:v>605</x:v>
      </x:c>
      <x:c r="H8" s="170" t="n">
        <x:v>0.021499</x:v>
      </x:c>
      <x:c r="I8" s="183" t="n">
        <x:v>14189026</x:v>
      </x:c>
      <x:c r="J8" s="168" t="str">
        <x:v>TNEX_SIM_2.0</x:v>
      </x:c>
    </x:row>
    <x:row r="9">
      <x:c r="A9" s="169" t="str">
        <x:v>SIM-5af98f9715</x:v>
      </x:c>
      <x:c r="B9" s="169" t="str">
        <x:v>CASH_LOAN</x:v>
      </x:c>
      <x:c r="C9" s="169" t="str">
        <x:v>REVIEW</x:v>
      </x:c>
      <x:c r="D9" s="169" t="str">
        <x:v>CREDIT_OR_AFFORDABILITY</x:v>
      </x:c>
      <x:c r="E9" s="186" t="n">
        <x:v>0.242525</x:v>
      </x:c>
      <x:c r="F9" s="186" t="n">
        <x:v>0.148884</x:v>
      </x:c>
      <x:c r="G9" s="169" t="n">
        <x:v>510</x:v>
      </x:c>
      <x:c r="H9" s="186" t="n">
        <x:v>0.021499</x:v>
      </x:c>
      <x:c r="I9" s="184" t="n">
        <x:v>0</x:v>
      </x:c>
      <x:c r="J9" s="169" t="str">
        <x:v>TNEX_SIM_2.0</x:v>
      </x:c>
    </x:row>
    <x:row r="13" ht="28" customHeight="1">
      <x:c r="A13" s="194" t="str">
        <x:v>Product</x:v>
      </x:c>
      <x:c r="B13" s="194" t="str">
        <x:v>Model ID</x:v>
      </x:c>
      <x:c r="C13" s="194" t="str">
        <x:v>Rows</x:v>
      </x:c>
      <x:c r="D13" s="194" t="str">
        <x:v>Predicted PD</x:v>
      </x:c>
      <x:c r="E13" s="194" t="str">
        <x:v>Observed bad rate</x:v>
      </x:c>
      <x:c r="F13" s="194" t="str">
        <x:v>Calibration gap</x:v>
      </x:c>
      <x:c r="G13" s="194" t="str">
        <x:v>Policy version</x:v>
      </x:c>
      <x:c r="H13" s="194" t="str">
        <x:v>Status</x:v>
      </x:c>
    </x:row>
    <x:row r="14">
      <x:c r="A14" s="167" t="str">
        <x:v>BNPL</x:v>
      </x:c>
      <x:c r="B14" s="167" t="str">
        <x:v>BNPL_PD_1.0</x:v>
      </x:c>
      <x:c r="C14" s="167" t="n">
        <x:v>707</x:v>
      </x:c>
      <x:c r="D14" s="185" t="n">
        <x:v>0.09282192711153389</x:v>
      </x:c>
      <x:c r="E14" s="185" t="n">
        <x:v>0.1471004243281471</x:v>
      </x:c>
      <x:c r="F14" s="185" t="n">
        <x:v>-0.05427849721661321</x:v>
      </x:c>
      <x:c r="G14" s="167" t="str">
        <x:v>TNEX_SIM_2.0</x:v>
      </x:c>
      <x:c r="H14" s="167" t="str">
        <x:v>PASS</x:v>
      </x:c>
    </x:row>
    <x:row r="15">
      <x:c r="A15" s="168" t="str">
        <x:v>BUSINESS_LOAN</x:v>
      </x:c>
      <x:c r="B15" s="168" t="str">
        <x:v>BUSINESS_LOAN_PD_1.0</x:v>
      </x:c>
      <x:c r="C15" s="168" t="n">
        <x:v>364</x:v>
      </x:c>
      <x:c r="D15" s="170" t="n">
        <x:v>0.09032659526868769</x:v>
      </x:c>
      <x:c r="E15" s="170" t="n">
        <x:v>0.1346153846153846</x:v>
      </x:c>
      <x:c r="F15" s="170" t="n">
        <x:v>-0.044288789346696916</x:v>
      </x:c>
      <x:c r="G15" s="168" t="str">
        <x:v>TNEX_SIM_2.0</x:v>
      </x:c>
      <x:c r="H15" s="168" t="str">
        <x:v>PASS</x:v>
      </x:c>
    </x:row>
    <x:row r="16">
      <x:c r="A16" s="169" t="str">
        <x:v>CASH_LOAN</x:v>
      </x:c>
      <x:c r="B16" s="169" t="str">
        <x:v>CASH_LOAN_PD_1.0</x:v>
      </x:c>
      <x:c r="C16" s="169" t="n">
        <x:v>1329</x:v>
      </x:c>
      <x:c r="D16" s="186" t="n">
        <x:v>0.09302235951680002</x:v>
      </x:c>
      <x:c r="E16" s="186" t="n">
        <x:v>0.12415349887133183</x:v>
      </x:c>
      <x:c r="F16" s="186" t="n">
        <x:v>-0.03113113935453181</x:v>
      </x:c>
      <x:c r="G16" s="169" t="str">
        <x:v>TNEX_SIM_2.0</x:v>
      </x:c>
      <x:c r="H16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4" hidden="0" customWidth="1"/>
    <x:col min="7" max="7" width="29" hidden="0" customWidth="1"/>
    <x:col min="9" max="9" width="3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27" customHeight="1">
      <x:c r="A2" s="154" t="str">
        <x:v>Fraud Network and Collections Next-Best-Action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Linked-device risks and customer-treatment controls remain separate and explainable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Device cluster</x:v>
      </x:c>
      <x:c r="B6" s="194" t="str">
        <x:v>Linked applications</x:v>
      </x:c>
      <x:c r="C6" s="194" t="str">
        <x:v>Products</x:v>
      </x:c>
      <x:c r="D6" s="194" t="str">
        <x:v>Mean fraud score</x:v>
      </x:c>
      <x:c r="E6" s="194" t="str">
        <x:v>Requested amount</x:v>
      </x:c>
      <x:c r="F6" s="194" t="str">
        <x:v>Risk</x:v>
      </x:c>
      <x:c r="G6" s="194" t="str">
        <x:v>Action</x:v>
      </x:c>
      <x:c r="I6" s="194" t="str">
        <x:v>Next-best-action</x:v>
      </x:c>
      <x:c r="J6" s="194" t="str">
        <x:v>Accounts</x:v>
      </x:c>
      <x:c r="K6" s="194" t="str">
        <x:v>Mean DPD</x:v>
      </x:c>
      <x:c r="L6" s="194" t="str">
        <x:v>Mean PD</x:v>
      </x:c>
      <x:c r="M6" s="194" t="str">
        <x:v>Contact allowed</x:v>
      </x:c>
    </x:row>
    <x:row r="7">
      <x:c r="A7" s="167" t="n">
        <x:v>3</x:v>
      </x:c>
      <x:c r="B7" s="167" t="n">
        <x:v>6</x:v>
      </x:c>
      <x:c r="C7" s="167" t="n">
        <x:v>3</x:v>
      </x:c>
      <x:c r="D7" s="185" t="n">
        <x:v>0.047589018719213</x:v>
      </x:c>
      <x:c r="E7" s="182" t="n">
        <x:v>461758428</x:v>
      </x:c>
      <x:c r="F7" s="167" t="str">
        <x:v>HIGH</x:v>
      </x:c>
      <x:c r="G7" s="167" t="str">
        <x:v>BLOCK_AND_INVESTIGATE</x:v>
      </x:c>
      <x:c r="I7" s="167" t="str">
        <x:v>DIGITAL_PROMISE_TO_PAY</x:v>
      </x:c>
      <x:c r="J7" s="167" t="n">
        <x:v>129</x:v>
      </x:c>
      <x:c r="K7" s="167" t="n">
        <x:v>41.627906976744185</x:v>
      </x:c>
      <x:c r="L7" s="185" t="n">
        <x:v>0.0918081977657525</x:v>
      </x:c>
      <x:c r="M7" s="185" t="n">
        <x:v>1</x:v>
      </x:c>
    </x:row>
    <x:row r="8">
      <x:c r="A8" s="168" t="n">
        <x:v>12</x:v>
      </x:c>
      <x:c r="B8" s="168" t="n">
        <x:v>5</x:v>
      </x:c>
      <x:c r="C8" s="168" t="n">
        <x:v>2</x:v>
      </x:c>
      <x:c r="D8" s="170" t="n">
        <x:v>0.052034892407629464</x:v>
      </x:c>
      <x:c r="E8" s="183" t="n">
        <x:v>310203820</x:v>
      </x:c>
      <x:c r="F8" s="168" t="str">
        <x:v>HIGH</x:v>
      </x:c>
      <x:c r="G8" s="168" t="str">
        <x:v>BLOCK_AND_INVESTIGATE</x:v>
      </x:c>
      <x:c r="I8" s="168" t="str">
        <x:v>FRIENDLY_APP_REMINDER</x:v>
      </x:c>
      <x:c r="J8" s="168" t="n">
        <x:v>164</x:v>
      </x:c>
      <x:c r="K8" s="168" t="n">
        <x:v>10.487804878048781</x:v>
      </x:c>
      <x:c r="L8" s="170" t="n">
        <x:v>0.089090559172566</x:v>
      </x:c>
      <x:c r="M8" s="170" t="n">
        <x:v>1</x:v>
      </x:c>
    </x:row>
    <x:row r="9">
      <x:c r="A9" s="168" t="n">
        <x:v>17</x:v>
      </x:c>
      <x:c r="B9" s="168" t="n">
        <x:v>5</x:v>
      </x:c>
      <x:c r="C9" s="168" t="n">
        <x:v>3</x:v>
      </x:c>
      <x:c r="D9" s="170" t="n">
        <x:v>0.04822284311341632</x:v>
      </x:c>
      <x:c r="E9" s="183" t="n">
        <x:v>227760053</x:v>
      </x:c>
      <x:c r="F9" s="168" t="str">
        <x:v>HIGH</x:v>
      </x:c>
      <x:c r="G9" s="168" t="str">
        <x:v>BLOCK_AND_INVESTIGATE</x:v>
      </x:c>
      <x:c r="I9" s="168" t="str">
        <x:v>INTENSIVE_RECOVERY_REVIEW</x:v>
      </x:c>
      <x:c r="J9" s="168" t="n">
        <x:v>46</x:v>
      </x:c>
      <x:c r="K9" s="168" t="n">
        <x:v>90</x:v>
      </x:c>
      <x:c r="L9" s="170" t="n">
        <x:v>0.0829411465229474</x:v>
      </x:c>
      <x:c r="M9" s="170" t="n">
        <x:v>1</x:v>
      </x:c>
    </x:row>
    <x:row r="10">
      <x:c r="A10" s="168" t="n">
        <x:v>10</x:v>
      </x:c>
      <x:c r="B10" s="168" t="n">
        <x:v>4</x:v>
      </x:c>
      <x:c r="C10" s="168" t="n">
        <x:v>2</x:v>
      </x:c>
      <x:c r="D10" s="170" t="n">
        <x:v>0.08150364310947537</x:v>
      </x:c>
      <x:c r="E10" s="183" t="n">
        <x:v>431419685</x:v>
      </x:c>
      <x:c r="F10" s="168" t="str">
        <x:v>MEDIUM</x:v>
      </x:c>
      <x:c r="G10" s="168" t="str">
        <x:v>STEP_UP_VERIFICATION</x:v>
      </x:c>
      <x:c r="I10" s="168" t="str">
        <x:v>NO_ACTION</x:v>
      </x:c>
      <x:c r="J10" s="168" t="n">
        <x:v>221</x:v>
      </x:c>
      <x:c r="K10" s="168" t="n">
        <x:v>0</x:v>
      </x:c>
      <x:c r="L10" s="170" t="n">
        <x:v>0.09259504588986973</x:v>
      </x:c>
      <x:c r="M10" s="170" t="n">
        <x:v>1</x:v>
      </x:c>
    </x:row>
    <x:row r="11">
      <x:c r="A11" s="168" t="n">
        <x:v>15</x:v>
      </x:c>
      <x:c r="B11" s="168" t="n">
        <x:v>4</x:v>
      </x:c>
      <x:c r="C11" s="168" t="n">
        <x:v>1</x:v>
      </x:c>
      <x:c r="D11" s="170" t="n">
        <x:v>0.0510565577243</x:v>
      </x:c>
      <x:c r="E11" s="183" t="n">
        <x:v>281466888</x:v>
      </x:c>
      <x:c r="F11" s="168" t="str">
        <x:v>MEDIUM</x:v>
      </x:c>
      <x:c r="G11" s="168" t="str">
        <x:v>STEP_UP_VERIFICATION</x:v>
      </x:c>
      <x:c r="I11" s="168" t="str">
        <x:v>SPECIALIST_HARDSHIP_REVIEW</x:v>
      </x:c>
      <x:c r="J11" s="168" t="n">
        <x:v>33</x:v>
      </x:c>
      <x:c r="K11" s="168" t="n">
        <x:v>13.93939393939394</x:v>
      </x:c>
      <x:c r="L11" s="170" t="n">
        <x:v>0.09355895391132928</x:v>
      </x:c>
      <x:c r="M11" s="170" t="n">
        <x:v>1</x:v>
      </x:c>
    </x:row>
    <x:row r="12">
      <x:c r="A12" s="168" t="n">
        <x:v>6</x:v>
      </x:c>
      <x:c r="B12" s="168" t="n">
        <x:v>4</x:v>
      </x:c>
      <x:c r="C12" s="168" t="n">
        <x:v>3</x:v>
      </x:c>
      <x:c r="D12" s="170" t="n">
        <x:v>0.0303394859914308</x:v>
      </x:c>
      <x:c r="E12" s="183" t="n">
        <x:v>192291192</x:v>
      </x:c>
      <x:c r="F12" s="168" t="str">
        <x:v>MEDIUM</x:v>
      </x:c>
      <x:c r="G12" s="168" t="str">
        <x:v>STEP_UP_VERIFICATION</x:v>
      </x:c>
      <x:c r="I12" s="169" t="str">
        <x:v>SUPPRESS_CONTACT_RECONCILE_PAYMENT</x:v>
      </x:c>
      <x:c r="J12" s="169" t="n">
        <x:v>7</x:v>
      </x:c>
      <x:c r="K12" s="169" t="n">
        <x:v>17.142857142857142</x:v>
      </x:c>
      <x:c r="L12" s="186" t="n">
        <x:v>0.10703952018987985</x:v>
      </x:c>
      <x:c r="M12" s="186" t="n">
        <x:v>0</x:v>
      </x:c>
    </x:row>
    <x:row r="13">
      <x:c r="A13" s="168" t="n">
        <x:v>7</x:v>
      </x:c>
      <x:c r="B13" s="168" t="n">
        <x:v>3</x:v>
      </x:c>
      <x:c r="C13" s="168" t="n">
        <x:v>1</x:v>
      </x:c>
      <x:c r="D13" s="170" t="n">
        <x:v>0.09696094332127465</x:v>
      </x:c>
      <x:c r="E13" s="183" t="n">
        <x:v>75248884</x:v>
      </x:c>
      <x:c r="F13" s="168" t="str">
        <x:v>MEDIUM</x:v>
      </x:c>
      <x:c r="G13" s="168" t="str">
        <x:v>STEP_UP_VERIFICATION</x:v>
      </x:c>
    </x:row>
    <x:row r="14">
      <x:c r="A14" s="168" t="n">
        <x:v>4</x:v>
      </x:c>
      <x:c r="B14" s="168" t="n">
        <x:v>3</x:v>
      </x:c>
      <x:c r="C14" s="168" t="n">
        <x:v>1</x:v>
      </x:c>
      <x:c r="D14" s="170" t="n">
        <x:v>0.0575490015559191</x:v>
      </x:c>
      <x:c r="E14" s="183" t="n">
        <x:v>205987004</x:v>
      </x:c>
      <x:c r="F14" s="168" t="str">
        <x:v>MEDIUM</x:v>
      </x:c>
      <x:c r="G14" s="168" t="str">
        <x:v>STEP_UP_VERIFICATION</x:v>
      </x:c>
    </x:row>
    <x:row r="15">
      <x:c r="A15" s="168" t="n">
        <x:v>14</x:v>
      </x:c>
      <x:c r="B15" s="168" t="n">
        <x:v>3</x:v>
      </x:c>
      <x:c r="C15" s="168" t="n">
        <x:v>2</x:v>
      </x:c>
      <x:c r="D15" s="170" t="n">
        <x:v>0.026981743574310865</x:v>
      </x:c>
      <x:c r="E15" s="183" t="n">
        <x:v>137306156</x:v>
      </x:c>
      <x:c r="F15" s="168" t="str">
        <x:v>MEDIUM</x:v>
      </x:c>
      <x:c r="G15" s="168" t="str">
        <x:v>STEP_UP_VERIFICATION</x:v>
      </x:c>
    </x:row>
    <x:row r="16">
      <x:c r="A16" s="168" t="n">
        <x:v>1</x:v>
      </x:c>
      <x:c r="B16" s="168" t="n">
        <x:v>2</x:v>
      </x:c>
      <x:c r="C16" s="168" t="n">
        <x:v>2</x:v>
      </x:c>
      <x:c r="D16" s="170" t="n">
        <x:v>0.112623690196124</x:v>
      </x:c>
      <x:c r="E16" s="183" t="n">
        <x:v>136390998</x:v>
      </x:c>
      <x:c r="F16" s="168" t="str">
        <x:v>MEDIUM</x:v>
      </x:c>
      <x:c r="G16" s="168" t="str">
        <x:v>STEP_UP_VERIFICATION</x:v>
      </x:c>
    </x:row>
    <x:row r="17">
      <x:c r="A17" s="168" t="n">
        <x:v>5</x:v>
      </x:c>
      <x:c r="B17" s="168" t="n">
        <x:v>2</x:v>
      </x:c>
      <x:c r="C17" s="168" t="n">
        <x:v>2</x:v>
      </x:c>
      <x:c r="D17" s="170" t="n">
        <x:v>0.11028166276396126</x:v>
      </x:c>
      <x:c r="E17" s="183" t="n">
        <x:v>65462229</x:v>
      </x:c>
      <x:c r="F17" s="168" t="str">
        <x:v>MEDIUM</x:v>
      </x:c>
      <x:c r="G17" s="168" t="str">
        <x:v>STEP_UP_VERIFICATION</x:v>
      </x:c>
    </x:row>
    <x:row r="18">
      <x:c r="A18" s="168" t="n">
        <x:v>9</x:v>
      </x:c>
      <x:c r="B18" s="168" t="n">
        <x:v>2</x:v>
      </x:c>
      <x:c r="C18" s="168" t="n">
        <x:v>1</x:v>
      </x:c>
      <x:c r="D18" s="170" t="n">
        <x:v>0.0544112169957128</x:v>
      </x:c>
      <x:c r="E18" s="183" t="n">
        <x:v>88958428</x:v>
      </x:c>
      <x:c r="F18" s="168" t="str">
        <x:v>MEDIUM</x:v>
      </x:c>
      <x:c r="G18" s="168" t="str">
        <x:v>STEP_UP_VERIFICATION</x:v>
      </x:c>
    </x:row>
    <x:row r="19">
      <x:c r="A19" s="169" t="n">
        <x:v>13</x:v>
      </x:c>
      <x:c r="B19" s="169" t="n">
        <x:v>2</x:v>
      </x:c>
      <x:c r="C19" s="169" t="n">
        <x:v>1</x:v>
      </x:c>
      <x:c r="D19" s="186" t="n">
        <x:v>0.0314623637187281</x:v>
      </x:c>
      <x:c r="E19" s="184" t="n">
        <x:v>201879985</x:v>
      </x:c>
      <x:c r="F19" s="169" t="str">
        <x:v>MEDIUM</x:v>
      </x:c>
      <x:c r="G19" s="169" t="str">
        <x:v>STEP_UP_VERIFICATION</x:v>
      </x:c>
    </x:row>
  </x:sheetData>
  <x:mergeCells>
    <x:mergeCell ref="A2:J2"/>
    <x:mergeCell ref="A3:J3"/>
  </x:mergeCells>
  <x:pageMargins left="0.7" right="0.7" top="0.75" bottom="0.75" header="0.3" footer="0.3"/>
</x:worksheet>
</file>