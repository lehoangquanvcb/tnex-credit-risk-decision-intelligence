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12f87547b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Summary" sheetId="1" r:id="Rc58a2c9129974cd2"/>
    <x:sheet xmlns:r="http://schemas.openxmlformats.org/officeDocument/2006/relationships" name="Model Comparison" sheetId="2" r:id="R4cb2c38bbf364ec2"/>
    <x:sheet xmlns:r="http://schemas.openxmlformats.org/officeDocument/2006/relationships" name="Time Validation" sheetId="3" r:id="R4acc841439ae4f90"/>
    <x:sheet xmlns:r="http://schemas.openxmlformats.org/officeDocument/2006/relationships" name="Calibration" sheetId="4" r:id="Rceba76e7405c4f51"/>
    <x:sheet xmlns:r="http://schemas.openxmlformats.org/officeDocument/2006/relationships" name="Monotonic WOE" sheetId="5" r:id="Rba28a65364f546f1"/>
    <x:sheet xmlns:r="http://schemas.openxmlformats.org/officeDocument/2006/relationships" name="Reject Inference" sheetId="6" r:id="R44807c3ae5b54d3c"/>
    <x:sheet xmlns:r="http://schemas.openxmlformats.org/officeDocument/2006/relationships" name="Fairness" sheetId="7" r:id="Rb989f0f87ddb4e9c"/>
    <x:sheet xmlns:r="http://schemas.openxmlformats.org/officeDocument/2006/relationships" name="Cut-off Strategy" sheetId="8" r:id="Rc8bce958b82f4a97"/>
    <x:sheet xmlns:r="http://schemas.openxmlformats.org/officeDocument/2006/relationships" name="Pricing and Limits" sheetId="9" r:id="R91ea29d3801a4575"/>
    <x:sheet xmlns:r="http://schemas.openxmlformats.org/officeDocument/2006/relationships" name="Vintage" sheetId="10" r:id="Re42686f68bb7448a"/>
    <x:sheet xmlns:r="http://schemas.openxmlformats.org/officeDocument/2006/relationships" name="Monitoring" sheetId="11" r:id="Rc1923cdae5c24dfe"/>
    <x:sheet xmlns:r="http://schemas.openxmlformats.org/officeDocument/2006/relationships" name="Behavioural EWS" sheetId="12" r:id="R6cfe36c7691e49b8"/>
    <x:sheet xmlns:r="http://schemas.openxmlformats.org/officeDocument/2006/relationships" name="Overrides" sheetId="13" r:id="R632439bad5b440be"/>
    <x:sheet xmlns:r="http://schemas.openxmlformats.org/officeDocument/2006/relationships" name="Model Registry" sheetId="14" r:id="Red7f6463934f44ea"/>
    <x:sheet xmlns:r="http://schemas.openxmlformats.org/officeDocument/2006/relationships" name="Governance" sheetId="15" r:id="R0fc4a9f4324f4614"/>
    <x:sheet xmlns:r="http://schemas.openxmlformats.org/officeDocument/2006/relationships" name="Bin Stability" sheetId="16" r:id="R2d9ec481651647ab"/>
    <x:sheet xmlns:r="http://schemas.openxmlformats.org/officeDocument/2006/relationships" name="Reconstruction" sheetId="17" r:id="Rb5ebd9fc14754458"/>
    <x:sheet xmlns:r="http://schemas.openxmlformats.org/officeDocument/2006/relationships" name="Policy Controls" sheetId="18" r:id="R423909dd332e43ca"/>
    <x:sheet xmlns:r="http://schemas.openxmlformats.org/officeDocument/2006/relationships" name="V5 Summary" sheetId="19" r:id="Raac01095be4e4042"/>
    <x:sheet xmlns:r="http://schemas.openxmlformats.org/officeDocument/2006/relationships" name="Walk Forward" sheetId="20" r:id="R60a5432979204c86"/>
    <x:sheet xmlns:r="http://schemas.openxmlformats.org/officeDocument/2006/relationships" name="Strategy Simulator" sheetId="21" r:id="Raf7cd7de47744e1b"/>
    <x:sheet xmlns:r="http://schemas.openxmlformats.org/officeDocument/2006/relationships" name="Stress Test" sheetId="22" r:id="R11640225eff642f0"/>
    <x:sheet xmlns:r="http://schemas.openxmlformats.org/officeDocument/2006/relationships" name="Profitability" sheetId="23" r:id="R2a8dab83eed944ec"/>
    <x:sheet xmlns:r="http://schemas.openxmlformats.org/officeDocument/2006/relationships" name="V6 Summary" sheetId="24" r:id="R3d4d3b22ffa84e8d"/>
    <x:sheet xmlns:r="http://schemas.openxmlformats.org/officeDocument/2006/relationships" name="Outcome Monitoring" sheetId="25" r:id="Rf34a832419504692"/>
    <x:sheet xmlns:r="http://schemas.openxmlformats.org/officeDocument/2006/relationships" name="IFRS9 ECL" sheetId="26" r:id="R75a6a11a667f457b"/>
    <x:sheet xmlns:r="http://schemas.openxmlformats.org/officeDocument/2006/relationships" name="Deployment Controls" sheetId="27" r:id="Rfd862d6ce3b94568"/>
    <x:sheet xmlns:r="http://schemas.openxmlformats.org/officeDocument/2006/relationships" name="Incident Register" sheetId="28" r:id="R33bfb2ed221a4240"/>
    <x:sheet xmlns:r="http://schemas.openxmlformats.org/officeDocument/2006/relationships" name="V7 TNEX Summary" sheetId="29" r:id="R51c4f2044f7d4e80"/>
    <x:sheet xmlns:r="http://schemas.openxmlformats.org/officeDocument/2006/relationships" name="Product Decisioning" sheetId="30" r:id="R4066cd3834d347c2"/>
    <x:sheet xmlns:r="http://schemas.openxmlformats.org/officeDocument/2006/relationships" name="Digital Funnel" sheetId="31" r:id="Rd6f47a75ed254adf"/>
    <x:sheet xmlns:r="http://schemas.openxmlformats.org/officeDocument/2006/relationships" name="Lifecycle Controls" sheetId="32" r:id="R5ca473bc6d5e45ce"/>
    <x:sheet xmlns:r="http://schemas.openxmlformats.org/officeDocument/2006/relationships" name="V8 Summary" sheetId="33" r:id="R5643086598814a53"/>
    <x:sheet xmlns:r="http://schemas.openxmlformats.org/officeDocument/2006/relationships" name="Strategy Optimizer" sheetId="34" r:id="R127fe1121ea049e1"/>
    <x:sheet xmlns:r="http://schemas.openxmlformats.org/officeDocument/2006/relationships" name="Live Decisions" sheetId="35" r:id="R7bdfbddc76cf498c"/>
    <x:sheet xmlns:r="http://schemas.openxmlformats.org/officeDocument/2006/relationships" name="Fraud and Collections" sheetId="36" r:id="R447f8d5a69f24428"/>
    <x:sheet xmlns:r="http://schemas.openxmlformats.org/officeDocument/2006/relationships" name="V9 Summary" sheetId="37" r:id="Rafddafd11ac24480"/>
    <x:sheet xmlns:r="http://schemas.openxmlformats.org/officeDocument/2006/relationships" name="Product Models" sheetId="38" r:id="Ra9ba90b4a00b4b4b"/>
    <x:sheet xmlns:r="http://schemas.openxmlformats.org/officeDocument/2006/relationships" name="Portfolio Appetite" sheetId="39" r:id="Radff4242d1da4f30"/>
    <x:sheet xmlns:r="http://schemas.openxmlformats.org/officeDocument/2006/relationships" name="Governance Outcomes" sheetId="40" r:id="R212ecb3333fc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0%"/>
    <x:numFmt numFmtId="201" formatCode="0.000"/>
    <x:numFmt numFmtId="202" formatCode="#,##0"/>
    <x:numFmt numFmtId="203" formatCode="0"/>
    <x:numFmt numFmtId="204" formatCode="0.0"/>
    <x:numFmt numFmtId="205" formatCode="0.00"/>
    <x:numFmt numFmtId="206" formatCode="0%"/>
    <x:numFmt numFmtId="207" formatCode="0.0%"/>
    <x:numFmt numFmtId="208" formatCode="@"/>
    <x:numFmt numFmtId="209" formatCode="0.0000000000"/>
    <x:numFmt numFmtId="210" formatCode="0.000000"/>
    <x:numFmt numFmtId="211" formatCode="&quot;VND &quot;#,##0;[Red](&quot;VND &quot;#,##0);-"/>
    <x:numFmt numFmtId="212" formatCode="0 &quot;ms&quot;"/>
  </x:numFmts>
  <x:fonts count="18">
    <x:font>
      <x:sz val="11"/>
      <x:name val="Carlito"/>
    </x:font>
    <x:font>
      <x:b/>
      <x:sz val="15"/>
      <x:color rgb="FF123554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66534"/>
      <x:name val="Arial"/>
    </x:font>
    <x:font>
      <x:b/>
      <x:sz val="15"/>
      <x:color rgb="FF123455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sz val="11"/>
      <x:color rgb="FF123455"/>
      <x:name val="Arial"/>
    </x:font>
    <x:font>
      <x:sz val="10"/>
      <x:color rgb="FF9C0006"/>
      <x:name val="Arial"/>
    </x:font>
    <x:font>
      <x:b/>
      <x:sz val="10"/>
      <x:color rgb="FF123455"/>
      <x:name val="Arial"/>
    </x:font>
    <x:font>
      <x:b/>
      <x:sz val="11"/>
      <x:color rgb="FF0000FF"/>
      <x:name val="Arial"/>
    </x:font>
    <x:font>
      <x:b/>
      <x:sz val="11"/>
      <x:color rgb="FF123455"/>
      <x:name val="Arial"/>
    </x:font>
    <x:font>
      <x:b/>
      <x:sz val="10"/>
      <x:color rgb="FF7F6000"/>
      <x:name val="Arial"/>
    </x:font>
    <x:font>
      <x:b/>
      <x:sz val="10"/>
      <x:color rgb="FF0000FF"/>
      <x:name val="Arial"/>
    </x:font>
    <x:font>
      <x:b/>
      <x:sz val="16"/>
      <x:color rgb="FF123455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23554"/>
      </x:patternFill>
    </x:fill>
    <x:fill>
      <x:patternFill patternType="solid">
        <x:fgColor rgb="FF123554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12345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23455"/>
      </x:patternFill>
    </x:fill>
    <x:fill>
      <x:patternFill patternType="solid">
        <x:fgColor rgb="FFEDF4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23455"/>
      </x:patternFill>
    </x:fill>
    <x:fill>
      <x:patternFill patternType="solid">
        <x:fgColor rgb="FFEDF4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2345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7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top style="thin">
        <x:color rgb="FFD9E2F3"/>
      </x:top>
    </x:border>
    <x:border>
      <x:bottom style="thin">
        <x:color rgb="FFF2B705"/>
      </x:bottom>
    </x:border>
    <x:border>
      <x:bottom style="medium">
        <x:color rgb="FFF2B705"/>
      </x:bottom>
    </x:border>
  </x:borders>
  <x:cellStyleXfs count="1">
    <x:xf numFmtId="0" fontId="0" fillId="0" borderId="0"/>
  </x:cellStyleXfs>
  <x:cellXfs count="2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5" fillId="2" borderId="0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202" fontId="4" fillId="0" borderId="2" xfId="0" applyNumberFormat="1" applyFont="1" applyFill="1" applyBorder="1"/>
    <x:xf numFmtId="202" fontId="4" fillId="0" borderId="3" xfId="0" applyNumberFormat="1" applyFont="1" applyFill="1" applyBorder="1"/>
    <x:xf numFmtId="203" fontId="4" fillId="0" borderId="2" xfId="0" applyNumberFormat="1" applyFont="1" applyFill="1" applyBorder="1"/>
    <x:xf numFmtId="203" fontId="4" fillId="0" borderId="3" xfId="0" applyNumberFormat="1" applyFont="1" applyFill="1" applyBorder="1"/>
    <x:xf numFmtId="204" fontId="4" fillId="0" borderId="2" xfId="0" applyNumberFormat="1" applyFont="1" applyFill="1" applyBorder="1"/>
    <x:xf numFmtId="204" fontId="4" fillId="0" borderId="3" xfId="0" applyNumberFormat="1" applyFont="1" applyFill="1" applyBorder="1"/>
    <x:xf numFmtId="205" fontId="4" fillId="0" borderId="2" xfId="0" applyNumberFormat="1" applyFont="1" applyFill="1" applyBorder="1"/>
    <x:xf numFmtId="205" fontId="4" fillId="0" borderId="3" xfId="0" applyNumberFormat="1" applyFont="1" applyFill="1" applyBorder="1"/>
    <x:xf numFmtId="206" fontId="4" fillId="0" borderId="2" xfId="0" applyNumberFormat="1" applyFont="1" applyFill="1" applyBorder="1"/>
    <x:xf numFmtId="206" fontId="4" fillId="0" borderId="3" xfId="0" applyNumberFormat="1" applyFont="1" applyFill="1" applyBorder="1"/>
    <x:xf numFmtId="207" fontId="4" fillId="0" borderId="2" xfId="0" applyNumberFormat="1" applyFont="1" applyFill="1" applyBorder="1"/>
    <x:xf numFmtId="207" fontId="4" fillId="0" borderId="3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7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208" fontId="0" fillId="0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208" fontId="0" fillId="0" borderId="4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9" fontId="4" fillId="0" borderId="2" xfId="0" applyNumberFormat="1" applyFont="1" applyFill="1" applyBorder="1"/>
    <x:xf numFmtId="209" fontId="4" fillId="0" borderId="3" xfId="0" applyNumberFormat="1" applyFont="1" applyFill="1" applyBorder="1"/>
    <x:xf numFmtId="210" fontId="4" fillId="0" borderId="2" xfId="0" applyNumberFormat="1" applyFont="1" applyFill="1" applyBorder="1"/>
    <x:xf numFmtId="210" fontId="4" fillId="0" borderId="3" xfId="0" applyNumberFormat="1" applyFont="1" applyFill="1" applyBorder="1"/>
    <x:xf numFmtId="209" fontId="6" fillId="0" borderId="3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8" fontId="0" fillId="0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9" fontId="4" fillId="0" borderId="2" xfId="0" applyNumberFormat="1" applyFont="1" applyFill="1" applyBorder="1" applyAlignment="1">
      <x:alignment vertical="center"/>
    </x:xf>
    <x:xf numFmtId="210" fontId="4" fillId="0" borderId="2" xfId="0" applyNumberFormat="1" applyFont="1" applyFill="1" applyBorder="1" applyAlignment="1">
      <x:alignment vertical="center"/>
    </x:xf>
    <x:xf numFmtId="209" fontId="6" fillId="0" borderId="3" xfId="0" applyNumberFormat="1" applyFont="1" applyFill="1" applyBorder="1" applyAlignment="1">
      <x:alignment vertical="center"/>
    </x:xf>
    <x:xf numFmtId="210" fontId="4" fillId="0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201" fontId="9" fillId="0" borderId="2" xfId="0" applyNumberFormat="1" applyFont="1" applyFill="1" applyBorder="1" applyAlignment="1">
      <x:alignment vertical="center"/>
    </x:xf>
    <x:xf numFmtId="207" fontId="9" fillId="0" borderId="2" xfId="0" applyNumberFormat="1" applyFont="1" applyFill="1" applyBorder="1" applyAlignment="1">
      <x:alignment vertical="center"/>
    </x:xf>
    <x:xf numFmtId="211" fontId="9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center"/>
    </x:xf>
    <x:xf numFmtId="201" fontId="9" fillId="0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207" fontId="13" fillId="8" borderId="0" xfId="0" applyNumberFormat="1" applyFont="1" applyFill="1" applyBorder="1"/>
    <x:xf numFmtId="207" fontId="13" fillId="8" borderId="0" xfId="0" applyNumberFormat="1" applyFont="1" applyFill="1" applyBorder="1" applyAlignment="1">
      <x:alignment horizontal="center"/>
    </x:xf>
    <x:xf numFmtId="207" fontId="9" fillId="0" borderId="1" xfId="0" applyNumberFormat="1" applyFont="1" applyFill="1" applyBorder="1" applyAlignment="1">
      <x:alignment vertical="center"/>
    </x:xf>
    <x:xf numFmtId="207" fontId="9" fillId="0" borderId="4" xfId="0" applyNumberFormat="1" applyFont="1" applyFill="1" applyBorder="1" applyAlignment="1">
      <x:alignment vertical="center"/>
    </x:xf>
    <x:xf numFmtId="211" fontId="9" fillId="0" borderId="1" xfId="0" applyNumberFormat="1" applyFont="1" applyFill="1" applyBorder="1" applyAlignment="1">
      <x:alignment vertical="center"/>
    </x:xf>
    <x:xf numFmtId="211" fontId="9" fillId="0" borderId="2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11" fontId="0" fillId="0" borderId="0" xfId="0" applyNumberFormat="1" applyFont="1" applyFill="1" applyBorder="1"/>
    <x:xf numFmtId="207" fontId="0" fillId="9" borderId="0" xfId="0" applyNumberFormat="1" applyFont="1" applyFill="1" applyBorder="1"/>
    <x:xf numFmtId="211" fontId="0" fillId="9" borderId="0" xfId="0" applyNumberFormat="1" applyFont="1" applyFill="1" applyBorder="1"/>
    <x:xf numFmtId="207" fontId="14" fillId="9" borderId="0" xfId="0" applyNumberFormat="1" applyFont="1" applyFill="1" applyBorder="1"/>
    <x:xf numFmtId="211" fontId="14" fillId="9" borderId="0" xfId="0" applyNumberFormat="1" applyFont="1" applyFill="1" applyBorder="1"/>
    <x:xf numFmtId="207" fontId="14" fillId="9" borderId="0" xfId="0" applyNumberFormat="1" applyFont="1" applyFill="1" applyBorder="1" applyAlignment="1">
      <x:alignment horizontal="center"/>
    </x:xf>
    <x:xf numFmtId="211" fontId="1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top" wrapText="1"/>
    </x:xf>
    <x:xf numFmtId="0" fontId="9" fillId="13" borderId="1" xfId="0" applyNumberFormat="1" applyFont="1" applyFill="1" applyBorder="1" applyAlignment="1">
      <x:alignment vertical="center"/>
    </x:xf>
    <x:xf numFmtId="0" fontId="9" fillId="13" borderId="2" xfId="0" applyNumberFormat="1" applyFont="1" applyFill="1" applyBorder="1" applyAlignment="1">
      <x:alignment vertical="center"/>
    </x:xf>
    <x:xf numFmtId="0" fontId="9" fillId="13" borderId="4" xfId="0" applyNumberFormat="1" applyFont="1" applyFill="1" applyBorder="1" applyAlignment="1">
      <x:alignment vertical="center"/>
    </x:xf>
    <x:xf numFmtId="0" fontId="16" fillId="13" borderId="1" xfId="0" applyNumberFormat="1" applyFont="1" applyFill="1" applyBorder="1" applyAlignment="1">
      <x:alignment vertical="center"/>
    </x:xf>
    <x:xf numFmtId="0" fontId="16" fillId="13" borderId="2" xfId="0" applyNumberFormat="1" applyFont="1" applyFill="1" applyBorder="1" applyAlignment="1">
      <x:alignment vertical="center"/>
    </x:xf>
    <x:xf numFmtId="0" fontId="16" fillId="13" borderId="4" xfId="0" applyNumberFormat="1" applyFont="1" applyFill="1" applyBorder="1" applyAlignment="1">
      <x:alignment vertical="center"/>
    </x:xf>
    <x:xf numFmtId="207" fontId="16" fillId="13" borderId="1" xfId="0" applyNumberFormat="1" applyFont="1" applyFill="1" applyBorder="1" applyAlignment="1">
      <x:alignment vertical="center"/>
    </x:xf>
    <x:xf numFmtId="207" fontId="16" fillId="13" borderId="2" xfId="0" applyNumberFormat="1" applyFont="1" applyFill="1" applyBorder="1" applyAlignment="1">
      <x:alignment vertical="center"/>
    </x:xf>
    <x:xf numFmtId="207" fontId="16" fillId="13" borderId="4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4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207" fontId="9" fillId="0" borderId="2" xfId="0" applyNumberFormat="1" applyFont="1" applyFill="1" applyBorder="1" applyAlignment="1">
      <x:alignment vertical="center" wrapText="1"/>
    </x:xf>
    <x:xf numFmtId="212" fontId="9" fillId="0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211" fontId="9" fillId="0" borderId="1" xfId="0" applyNumberFormat="1" applyFont="1" applyFill="1" applyBorder="1" applyAlignment="1">
      <x:alignment vertical="center" wrapText="1"/>
    </x:xf>
    <x:xf numFmtId="211" fontId="9" fillId="0" borderId="2" xfId="0" applyNumberFormat="1" applyFont="1" applyFill="1" applyBorder="1" applyAlignment="1">
      <x:alignment vertical="center" wrapText="1"/>
    </x:xf>
    <x:xf numFmtId="211" fontId="9" fillId="0" borderId="4" xfId="0" applyNumberFormat="1" applyFont="1" applyFill="1" applyBorder="1" applyAlignment="1">
      <x:alignment vertical="center" wrapText="1"/>
    </x:xf>
    <x:xf numFmtId="207" fontId="9" fillId="0" borderId="1" xfId="0" applyNumberFormat="1" applyFont="1" applyFill="1" applyBorder="1" applyAlignment="1">
      <x:alignment vertical="center" wrapText="1"/>
    </x:xf>
    <x:xf numFmtId="207" fontId="9" fillId="0" borderId="4" xfId="0" applyNumberFormat="1" applyFont="1" applyFill="1" applyBorder="1" applyAlignment="1">
      <x:alignment vertical="center" wrapText="1"/>
    </x:xf>
    <x:xf numFmtId="212" fontId="9" fillId="0" borderId="1" xfId="0" applyNumberFormat="1" applyFont="1" applyFill="1" applyBorder="1" applyAlignment="1">
      <x:alignment vertical="center" wrapText="1"/>
    </x:xf>
    <x:xf numFmtId="212" fontId="9" fillId="0" borderId="4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10" fillId="19" borderId="0" xfId="0" applyNumberFormat="1" applyFont="1" applyFill="1" applyBorder="1" applyAlignment="1">
      <x:alignment wrapText="1"/>
    </x:xf>
    <x:xf numFmtId="0" fontId="10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wrapText="1"/>
    </x:xf>
    <x:xf numFmtId="0" fontId="15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6" fillId="21" borderId="0" xfId="0" applyNumberFormat="1" applyFont="1" applyFill="1" applyBorder="1"/>
    <x:xf numFmtId="207" fontId="16" fillId="21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0" xfId="0" applyNumberFormat="1" applyFont="1" applyFill="1" applyBorder="1" applyAlignment="1">
      <x:alignment wrapText="1"/>
    </x:xf>
    <x:xf numFmtId="0" fontId="15" fillId="23" borderId="0" xfId="0" applyNumberFormat="1" applyFont="1" applyFill="1" applyBorder="1" applyAlignment="1">
      <x:alignment vertical="center" wrapText="1"/>
    </x:xf>
    <x:xf numFmtId="201" fontId="9" fillId="0" borderId="1" xfId="0" applyNumberFormat="1" applyFont="1" applyFill="1" applyBorder="1" applyAlignment="1">
      <x:alignment vertical="center" wrapText="1"/>
    </x:xf>
    <x:xf numFmtId="201" fontId="9" fillId="0" borderId="2" xfId="0" applyNumberFormat="1" applyFont="1" applyFill="1" applyBorder="1" applyAlignment="1">
      <x:alignment vertical="center" wrapText="1"/>
    </x:xf>
    <x:xf numFmtId="201" fontId="9" fillId="0" borderId="4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6" fillId="24" borderId="0" xfId="0" applyNumberFormat="1" applyFont="1" applyFill="1" applyBorder="1"/>
    <x:xf numFmtId="207" fontId="16" fillId="24" borderId="0" xfId="0" applyNumberFormat="1" applyFont="1" applyFill="1" applyBorder="1"/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166534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7f4cd08524b1e" /><Relationship Type="http://schemas.openxmlformats.org/officeDocument/2006/relationships/theme" Target="/xl/theme/theme1.xml" Id="R9121bb1cd0c8483e" /><Relationship Type="http://schemas.microsoft.com/office/2022/11/relationships/FeaturePropertyBag" Target="/xl/featurePropertyBag/featurePropertyBag.xml" Id="R06a162897703459f" /><Relationship Type="http://schemas.openxmlformats.org/officeDocument/2006/relationships/sharedStrings" Target="/xl/sharedStrings.xml" Id="Re07b84c2adda4ed5" /><Relationship Type="http://schemas.openxmlformats.org/officeDocument/2006/relationships/worksheet" Target="/xl/worksheets/sheet1.xml" Id="Rc58a2c9129974cd2" /><Relationship Type="http://schemas.openxmlformats.org/officeDocument/2006/relationships/worksheet" Target="/xl/worksheets/sheet2.xml" Id="R4cb2c38bbf364ec2" /><Relationship Type="http://schemas.openxmlformats.org/officeDocument/2006/relationships/worksheet" Target="/xl/worksheets/sheet3.xml" Id="R4acc841439ae4f90" /><Relationship Type="http://schemas.openxmlformats.org/officeDocument/2006/relationships/worksheet" Target="/xl/worksheets/sheet4.xml" Id="Rceba76e7405c4f51" /><Relationship Type="http://schemas.openxmlformats.org/officeDocument/2006/relationships/worksheet" Target="/xl/worksheets/sheet5.xml" Id="Rba28a65364f546f1" /><Relationship Type="http://schemas.openxmlformats.org/officeDocument/2006/relationships/worksheet" Target="/xl/worksheets/sheet6.xml" Id="R44807c3ae5b54d3c" /><Relationship Type="http://schemas.openxmlformats.org/officeDocument/2006/relationships/worksheet" Target="/xl/worksheets/sheet7.xml" Id="Rb989f0f87ddb4e9c" /><Relationship Type="http://schemas.openxmlformats.org/officeDocument/2006/relationships/worksheet" Target="/xl/worksheets/sheet8.xml" Id="Rc8bce958b82f4a97" /><Relationship Type="http://schemas.openxmlformats.org/officeDocument/2006/relationships/worksheet" Target="/xl/worksheets/sheet9.xml" Id="R91ea29d3801a4575" /><Relationship Type="http://schemas.openxmlformats.org/officeDocument/2006/relationships/worksheet" Target="/xl/worksheets/sheet10.xml" Id="Re42686f68bb7448a" /><Relationship Type="http://schemas.openxmlformats.org/officeDocument/2006/relationships/worksheet" Target="/xl/worksheets/sheet11.xml" Id="Rc1923cdae5c24dfe" /><Relationship Type="http://schemas.openxmlformats.org/officeDocument/2006/relationships/worksheet" Target="/xl/worksheets/sheet12.xml" Id="R6cfe36c7691e49b8" /><Relationship Type="http://schemas.openxmlformats.org/officeDocument/2006/relationships/worksheet" Target="/xl/worksheets/sheet13.xml" Id="R632439bad5b440be" /><Relationship Type="http://schemas.openxmlformats.org/officeDocument/2006/relationships/worksheet" Target="/xl/worksheets/sheet14.xml" Id="Red7f6463934f44ea" /><Relationship Type="http://schemas.openxmlformats.org/officeDocument/2006/relationships/worksheet" Target="/xl/worksheets/sheet15.xml" Id="R0fc4a9f4324f4614" /><Relationship Type="http://schemas.openxmlformats.org/officeDocument/2006/relationships/worksheet" Target="/xl/worksheets/sheet16.xml" Id="R2d9ec481651647ab" /><Relationship Type="http://schemas.openxmlformats.org/officeDocument/2006/relationships/worksheet" Target="/xl/worksheets/sheet17.xml" Id="Rb5ebd9fc14754458" /><Relationship Type="http://schemas.openxmlformats.org/officeDocument/2006/relationships/worksheet" Target="/xl/worksheets/sheet18.xml" Id="R423909dd332e43ca" /><Relationship Type="http://schemas.openxmlformats.org/officeDocument/2006/relationships/worksheet" Target="/xl/worksheets/sheet19.xml" Id="Raac01095be4e4042" /><Relationship Type="http://schemas.openxmlformats.org/officeDocument/2006/relationships/worksheet" Target="/xl/worksheets/sheet20.xml" Id="R60a5432979204c86" /><Relationship Type="http://schemas.openxmlformats.org/officeDocument/2006/relationships/worksheet" Target="/xl/worksheets/sheet21.xml" Id="Raf7cd7de47744e1b" /><Relationship Type="http://schemas.openxmlformats.org/officeDocument/2006/relationships/worksheet" Target="/xl/worksheets/sheet22.xml" Id="R11640225eff642f0" /><Relationship Type="http://schemas.openxmlformats.org/officeDocument/2006/relationships/worksheet" Target="/xl/worksheets/sheet23.xml" Id="R2a8dab83eed944ec" /><Relationship Type="http://schemas.openxmlformats.org/officeDocument/2006/relationships/worksheet" Target="/xl/worksheets/sheet24.xml" Id="R3d4d3b22ffa84e8d" /><Relationship Type="http://schemas.openxmlformats.org/officeDocument/2006/relationships/worksheet" Target="/xl/worksheets/sheet25.xml" Id="Rf34a832419504692" /><Relationship Type="http://schemas.openxmlformats.org/officeDocument/2006/relationships/worksheet" Target="/xl/worksheets/sheet26.xml" Id="R75a6a11a667f457b" /><Relationship Type="http://schemas.openxmlformats.org/officeDocument/2006/relationships/worksheet" Target="/xl/worksheets/sheet27.xml" Id="Rfd862d6ce3b94568" /><Relationship Type="http://schemas.openxmlformats.org/officeDocument/2006/relationships/worksheet" Target="/xl/worksheets/sheet28.xml" Id="R33bfb2ed221a4240" /><Relationship Type="http://schemas.openxmlformats.org/officeDocument/2006/relationships/worksheet" Target="/xl/worksheets/sheet29.xml" Id="R51c4f2044f7d4e80" /><Relationship Type="http://schemas.openxmlformats.org/officeDocument/2006/relationships/worksheet" Target="/xl/worksheets/sheet30.xml" Id="R4066cd3834d347c2" /><Relationship Type="http://schemas.openxmlformats.org/officeDocument/2006/relationships/worksheet" Target="/xl/worksheets/sheet31.xml" Id="Rd6f47a75ed254adf" /><Relationship Type="http://schemas.openxmlformats.org/officeDocument/2006/relationships/worksheet" Target="/xl/worksheets/sheet32.xml" Id="R5ca473bc6d5e45ce" /><Relationship Type="http://schemas.openxmlformats.org/officeDocument/2006/relationships/worksheet" Target="/xl/worksheets/sheet33.xml" Id="R5643086598814a53" /><Relationship Type="http://schemas.openxmlformats.org/officeDocument/2006/relationships/worksheet" Target="/xl/worksheets/sheet34.xml" Id="R127fe1121ea049e1" /><Relationship Type="http://schemas.openxmlformats.org/officeDocument/2006/relationships/worksheet" Target="/xl/worksheets/sheet35.xml" Id="R7bdfbddc76cf498c" /><Relationship Type="http://schemas.openxmlformats.org/officeDocument/2006/relationships/worksheet" Target="/xl/worksheets/sheet36.xml" Id="R447f8d5a69f24428" /><Relationship Type="http://schemas.openxmlformats.org/officeDocument/2006/relationships/worksheet" Target="/xl/worksheets/sheet37.xml" Id="Rafddafd11ac24480" /><Relationship Type="http://schemas.openxmlformats.org/officeDocument/2006/relationships/worksheet" Target="/xl/worksheets/sheet38.xml" Id="Ra9ba90b4a00b4b4b" /><Relationship Type="http://schemas.openxmlformats.org/officeDocument/2006/relationships/worksheet" Target="/xl/worksheets/sheet39.xml" Id="Radff4242d1da4f30" /><Relationship Type="http://schemas.openxmlformats.org/officeDocument/2006/relationships/worksheet" Target="/xl/worksheets/sheet40.xml" Id="R212ecb3333fc4d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5cbbe8b4e04f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Predicted vs observed default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Observed bad rate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'Calibration'!$C$7:$C$16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Predicted PD</c:v>
          </c:tx>
          <c:marker>
            <c:symbol val="none"/>
          </c:marker>
          <c:cat>
            <c:strRef>
              <c:f>'Calibration'!$A$7:$A$16</c:f>
              <c:strCache>
                <c:ptCount val="0"/>
              </c:strCache>
            </c:strRef>
          </c:cat>
          <c:val>
            <c:numRef>
              <c:f>'Calibration'!$D$7:$D$16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5cbbe8b4e04f0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247ee9ea8334c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4" max="4" width="22" hidden="0" customWidth="1"/>
    <x:col min="5" max="5" width="14" hidden="0" customWidth="1"/>
    <x:col min="6" max="6" width="14" hidden="0" customWidth="1"/>
  </x:cols>
  <x:sheetData>
    <x:row r="2">
      <x:c r="A2" s="29" t="str">
        <x:v>Retail Credit Model Validation</x:v>
      </x:c>
      <x:c r="B2" s="30"/>
      <x:c r="C2" s="30"/>
      <x:c r="D2" s="30"/>
      <x:c r="E2" s="30"/>
      <x:c r="F2" s="30"/>
    </x:row>
    <x:row r="3">
      <x:c r="A3" s="31" t="str">
        <x:v>RCS_PD_4.0 | RETAIL_POLICY_1.0 | SYNTH_RETAIL_2024_2025 | build V4.1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Metric</x:v>
      </x:c>
      <x:c r="B6" s="9" t="str">
        <x:v>Result</x:v>
      </x:c>
      <x:c r="C6" s="30"/>
      <x:c r="D6" s="33" t="str">
        <x:v>Test</x:v>
      </x:c>
      <x:c r="E6" s="33" t="str">
        <x:v>Threshold</x:v>
      </x:c>
      <x:c r="F6" s="33" t="str">
        <x:v>Assessment</x:v>
      </x:c>
    </x:row>
    <x:row r="7">
      <x:c r="A7" s="34" t="str">
        <x:v>Validation status</x:v>
      </x:c>
      <x:c r="B7" s="35" t="str">
        <x:v>PASS</x:v>
      </x:c>
      <x:c r="C7" s="30"/>
      <x:c r="D7" s="30" t="str">
        <x:v>AUC</x:v>
      </x:c>
      <x:c r="E7" s="30" t="n">
        <x:v>0.65</x:v>
      </x:c>
      <x:c r="F7" s="30" t="str">
        <x:f>IF(B8&gt;=E7,"PASS","FAIL")</x:f>
        <x:v>PASS</x:v>
      </x:c>
    </x:row>
    <x:row r="8">
      <x:c r="A8" s="34" t="str">
        <x:v>OOT AUC</x:v>
      </x:c>
      <x:c r="B8" s="35" t="n">
        <x:v>0.6861848186613017</x:v>
      </x:c>
      <x:c r="C8" s="30"/>
      <x:c r="D8" s="30" t="str">
        <x:v>KS</x:v>
      </x:c>
      <x:c r="E8" s="30" t="n">
        <x:v>0.25</x:v>
      </x:c>
      <x:c r="F8" s="30" t="str">
        <x:f>IF(B10&gt;=E8,"PASS","FAIL")</x:f>
        <x:v>PASS</x:v>
      </x:c>
    </x:row>
    <x:row r="9">
      <x:c r="A9" s="34" t="str">
        <x:v>OOT Gini</x:v>
      </x:c>
      <x:c r="B9" s="35" t="n">
        <x:v>0.3723696373226033</x:v>
      </x:c>
      <x:c r="C9" s="30"/>
      <x:c r="D9" s="30" t="str">
        <x:v>Brier</x:v>
      </x:c>
      <x:c r="E9" s="30" t="n">
        <x:v>0.15</x:v>
      </x:c>
      <x:c r="F9" s="30" t="str">
        <x:f>IF(B11&lt;E9,"PASS","FAIL")</x:f>
        <x:v>PASS</x:v>
      </x:c>
    </x:row>
    <x:row r="10">
      <x:c r="A10" s="34" t="str">
        <x:v>OOT KS</x:v>
      </x:c>
      <x:c r="B10" s="35" t="n">
        <x:v>0.2947274935203813</x:v>
      </x:c>
      <x:c r="C10" s="30"/>
      <x:c r="D10" s="30" t="str">
        <x:v>Calibration gap</x:v>
      </x:c>
      <x:c r="E10" s="30" t="n">
        <x:v>0.03</x:v>
      </x:c>
      <x:c r="F10" s="30" t="str">
        <x:f>IF(B14&lt;E10,"PASS","FAIL")</x:f>
        <x:v>PASS</x:v>
      </x:c>
    </x:row>
    <x:row r="11">
      <x:c r="A11" s="34" t="str">
        <x:v>Brier score</x:v>
      </x:c>
      <x:c r="B11" s="35" t="n">
        <x:v>0.10820914360337476</x:v>
      </x:c>
      <x:c r="C11" s="30"/>
      <x:c r="D11" s="30"/>
      <x:c r="E11" s="30"/>
      <x:c r="F11" s="30"/>
    </x:row>
    <x:row r="12">
      <x:c r="A12" s="34" t="str">
        <x:v>Observed bad rate</x:v>
      </x:c>
      <x:c r="B12" s="35" t="n">
        <x:v>0.1325</x:v>
      </x:c>
      <x:c r="C12" s="30"/>
      <x:c r="D12" s="30"/>
      <x:c r="E12" s="30"/>
      <x:c r="F12" s="30"/>
    </x:row>
    <x:row r="13">
      <x:c r="A13" s="34" t="str">
        <x:v>Mean PD</x:v>
      </x:c>
      <x:c r="B13" s="35" t="n">
        <x:v>0.1336069657509114</x:v>
      </x:c>
      <x:c r="C13" s="30"/>
      <x:c r="D13" s="30"/>
      <x:c r="E13" s="30"/>
      <x:c r="F13" s="30"/>
    </x:row>
    <x:row r="14">
      <x:c r="A14" s="36" t="str">
        <x:v>Calibration gap</x:v>
      </x:c>
      <x:c r="B14" s="37" t="n">
        <x:v>0.001106965750911404</x:v>
      </x:c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74" t="str">
        <x:v>Release metadata</x:v>
      </x:c>
      <x:c r="B16" s="74" t="str">
        <x:v>Value</x:v>
      </x:c>
      <x:c r="C16" s="30"/>
      <x:c r="D16" s="30"/>
      <x:c r="E16" s="30"/>
      <x:c r="F16" s="30"/>
    </x:row>
    <x:row r="17">
      <x:c r="A17" s="75" t="str">
        <x:v>Model ID</x:v>
      </x:c>
      <x:c r="B17" s="75" t="str">
        <x:v>RCS_PD_4.0</x:v>
      </x:c>
      <x:c r="C17" s="30"/>
      <x:c r="D17" s="30"/>
      <x:c r="E17" s="30"/>
      <x:c r="F17" s="30"/>
    </x:row>
    <x:row r="18">
      <x:c r="A18" s="75" t="str">
        <x:v>Policy version</x:v>
      </x:c>
      <x:c r="B18" s="75" t="str">
        <x:v>RETAIL_POLICY_1.0</x:v>
      </x:c>
      <x:c r="C18" s="30"/>
      <x:c r="D18" s="30"/>
      <x:c r="E18" s="30"/>
      <x:c r="F18" s="30"/>
    </x:row>
    <x:row r="19">
      <x:c r="A19" s="75" t="str">
        <x:v>Dataset ID</x:v>
      </x:c>
      <x:c r="B19" s="75" t="str">
        <x:v>SYNTH_RETAIL_2024_2025</x:v>
      </x:c>
      <x:c r="C19" s="30"/>
      <x:c r="D19" s="30"/>
      <x:c r="E19" s="30"/>
      <x:c r="F19" s="30"/>
    </x:row>
    <x:row r="20">
      <x:c r="A20" s="75" t="str">
        <x:v>Code hash</x:v>
      </x:c>
      <x:c r="B20" s="75" t="str">
        <x:v>62fb7d5d9297</x:v>
      </x:c>
      <x:c r="C20" s="30"/>
      <x:c r="D20" s="30"/>
      <x:c r="E20" s="30"/>
      <x:c r="F20" s="30"/>
    </x:row>
    <x:row r="21">
      <x:c r="A21" s="76" t="str">
        <x:v>Calculated at</x:v>
      </x:c>
      <x:c r="B21" s="77" t="str">
        <x:v>'2026-09-23T17:07:13.359674+00:00</x:v>
      </x:c>
      <x:c r="C21" s="30"/>
      <x:c r="D21" s="30"/>
      <x:c r="E21" s="30"/>
      <x:c r="F21" s="30"/>
    </x:row>
  </x:sheetData>
  <x:mergeCells>
    <x:mergeCell ref="A2:F2"/>
    <x:mergeCell ref="A3:F3"/>
  </x:mergeCells>
  <x:conditionalFormatting sqref="F7:F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8.329999923706055" hidden="0" customWidth="1"/>
    <x:col min="6" max="6" width="16.670000076293945" hidden="0" customWidth="1"/>
  </x:cols>
  <x:sheetData>
    <x:row r="2">
      <x:c r="A2" s="29" t="str">
        <x:v>Model Comparison</x:v>
      </x:c>
      <x:c r="B2" s="30"/>
      <x:c r="C2" s="30"/>
      <x:c r="D2" s="30"/>
      <x:c r="E2" s="30"/>
      <x:c r="F2" s="30"/>
    </x:row>
    <x:row r="3">
      <x:c r="A3" s="31" t="str">
        <x:v>Performance, calibration and explainability trade-offs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Model</x:v>
      </x:c>
      <x:c r="B6" s="9" t="str">
        <x:v>AUC</x:v>
      </x:c>
      <x:c r="C6" s="9" t="str">
        <x:v>Gini</x:v>
      </x:c>
      <x:c r="D6" s="9" t="str">
        <x:v>KS</x:v>
      </x:c>
      <x:c r="E6" s="9" t="str">
        <x:v>Brier score</x:v>
      </x:c>
      <x:c r="F6" s="9" t="str">
        <x:v>Role</x:v>
      </x:c>
    </x:row>
    <x:row r="7">
      <x:c r="A7" s="34" t="str">
        <x:v>Raw logistic</x:v>
      </x:c>
      <x:c r="B7" s="38" t="n">
        <x:v>0.6919700736328874</x:v>
      </x:c>
      <x:c r="C7" s="38" t="n">
        <x:v>0.38394014726577486</x:v>
      </x:c>
      <x:c r="D7" s="38" t="n">
        <x:v>0.30075106297969867</x:v>
      </x:c>
      <x:c r="E7" s="38" t="n">
        <x:v>0.2252653782719101</x:v>
      </x:c>
      <x:c r="F7" s="34" t="str">
        <x:v>Challenger</x:v>
      </x:c>
    </x:row>
    <x:row r="8">
      <x:c r="A8" s="34" t="str">
        <x:v>Calibrated logistic (champion)</x:v>
      </x:c>
      <x:c r="B8" s="38" t="n">
        <x:v>0.6918657518615251</x:v>
      </x:c>
      <x:c r="C8" s="38" t="n">
        <x:v>0.3837315037230502</x:v>
      </x:c>
      <x:c r="D8" s="38" t="n">
        <x:v>0.29971429815915096</x:v>
      </x:c>
      <x:c r="E8" s="38" t="n">
        <x:v>0.10876496899861064</x:v>
      </x:c>
      <x:c r="F8" s="34" t="str">
        <x:v>Performance benchmark</x:v>
      </x:c>
    </x:row>
    <x:row r="9">
      <x:c r="A9" s="34" t="str">
        <x:v>Random forest challenger</x:v>
      </x:c>
      <x:c r="B9" s="38" t="n">
        <x:v>0.6865050109403426</x:v>
      </x:c>
      <x:c r="C9" s="38" t="n">
        <x:v>0.3730100218806851</x:v>
      </x:c>
      <x:c r="D9" s="38" t="n">
        <x:v>0.28540554550875946</x:v>
      </x:c>
      <x:c r="E9" s="38" t="n">
        <x:v>0.1988525857821733</x:v>
      </x:c>
      <x:c r="F9" s="34" t="str">
        <x:v>Challenger</x:v>
      </x:c>
    </x:row>
    <x:row r="10">
      <x:c r="A10" s="36" t="str">
        <x:v>Monotonic WOE scorecard V4</x:v>
      </x:c>
      <x:c r="B10" s="39" t="n">
        <x:v>0.6861848186613017</x:v>
      </x:c>
      <x:c r="C10" s="39" t="n">
        <x:v>0.3723696373226033</x:v>
      </x:c>
      <x:c r="D10" s="39" t="n">
        <x:v>0.2947274935203813</x:v>
      </x:c>
      <x:c r="E10" s="39" t="n">
        <x:v>0.10820914360337476</x:v>
      </x:c>
      <x:c r="F10" s="36" t="str">
        <x:v>Production candidate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20000267028809" hidden="0" customWidth="1"/>
    <x:col min="2" max="2" width="8.109999656677246" hidden="0" customWidth="1"/>
    <x:col min="3" max="3" width="8.109999656677246" hidden="0" customWidth="1"/>
    <x:col min="4" max="4" width="9.32999992370605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6.78000020980835" hidden="0" customWidth="1"/>
    <x:col min="10" max="10" width="6.440000057220459" hidden="0" customWidth="1"/>
  </x:cols>
  <x:sheetData>
    <x:row r="2">
      <x:c r="A2" s="29" t="str">
        <x:v>Chronological Validation Windows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31" t="str">
        <x:v>Development, validation and out-of-time periods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>
      <x:c r="A6" s="9" t="str">
        <x:v>Window</x:v>
      </x:c>
      <x:c r="B6" s="9" t="str">
        <x:v>Start date</x:v>
      </x:c>
      <x:c r="C6" s="9" t="str">
        <x:v>End date</x:v>
      </x:c>
      <x:c r="D6" s="9" t="str">
        <x:v>Applications</x:v>
      </x:c>
      <x:c r="E6" s="9" t="str">
        <x:v>AUC</x:v>
      </x:c>
      <x:c r="F6" s="9" t="str">
        <x:v>Gini</x:v>
      </x:c>
      <x:c r="G6" s="9" t="str">
        <x:v>KS</x:v>
      </x:c>
      <x:c r="H6" s="9" t="str">
        <x:v>Brier</x:v>
      </x:c>
      <x:c r="I6" s="9" t="str">
        <x:v>Mean PD</x:v>
      </x:c>
      <x:c r="J6" s="9" t="str">
        <x:v>Bad rate</x:v>
      </x:c>
    </x:row>
    <x:row r="7">
      <x:c r="A7" s="34" t="str">
        <x:v>Development</x:v>
      </x:c>
      <x:c r="B7" s="34" t="str">
        <x:v>2024-01-01</x:v>
      </x:c>
      <x:c r="C7" s="34" t="str">
        <x:v>2024-10-26</x:v>
      </x:c>
      <x:c r="D7" s="40" t="n">
        <x:v>7200</x:v>
      </x:c>
      <x:c r="E7" s="38" t="n">
        <x:v>0.6937212007775161</x:v>
      </x:c>
      <x:c r="F7" s="38" t="n">
        <x:v>0.3874424015550322</x:v>
      </x:c>
      <x:c r="G7" s="38" t="n">
        <x:v>0.2912563852246027</x:v>
      </x:c>
      <x:c r="H7" s="38" t="n">
        <x:v>0.10680195599149399</x:v>
      </x:c>
      <x:c r="I7" s="35" t="n">
        <x:v>0.1301601212376468</x:v>
      </x:c>
      <x:c r="J7" s="35" t="n">
        <x:v>0.1301388888888889</x:v>
      </x:c>
    </x:row>
    <x:row r="8">
      <x:c r="A8" s="34" t="str">
        <x:v>Validation</x:v>
      </x:c>
      <x:c r="B8" s="34" t="str">
        <x:v>2024-10-27</x:v>
      </x:c>
      <x:c r="C8" s="34" t="str">
        <x:v>2025-02-03</x:v>
      </x:c>
      <x:c r="D8" s="40" t="n">
        <x:v>2400</x:v>
      </x:c>
      <x:c r="E8" s="38" t="n">
        <x:v>0.676582782451923</x:v>
      </x:c>
      <x:c r="F8" s="38" t="n">
        <x:v>0.3531655649038461</x:v>
      </x:c>
      <x:c r="G8" s="38" t="n">
        <x:v>0.26057692307692304</x:v>
      </x:c>
      <x:c r="H8" s="38" t="n">
        <x:v>0.10938437273548038</x:v>
      </x:c>
      <x:c r="I8" s="35" t="n">
        <x:v>0.12987333680861615</x:v>
      </x:c>
      <x:c r="J8" s="35" t="n">
        <x:v>0.13333333333333333</x:v>
      </x:c>
    </x:row>
    <x:row r="9">
      <x:c r="A9" s="36" t="str">
        <x:v>Out-of-time</x:v>
      </x:c>
      <x:c r="B9" s="36" t="str">
        <x:v>2025-02-04</x:v>
      </x:c>
      <x:c r="C9" s="36" t="str">
        <x:v>2025-05-14</x:v>
      </x:c>
      <x:c r="D9" s="41" t="n">
        <x:v>2400</x:v>
      </x:c>
      <x:c r="E9" s="39" t="n">
        <x:v>0.6861848186613017</x:v>
      </x:c>
      <x:c r="F9" s="39" t="n">
        <x:v>0.3723696373226033</x:v>
      </x:c>
      <x:c r="G9" s="39" t="n">
        <x:v>0.2947274935203813</x:v>
      </x:c>
      <x:c r="H9" s="39" t="n">
        <x:v>0.10820914360337476</x:v>
      </x:c>
      <x:c r="I9" s="37" t="n">
        <x:v>0.1336069657509114</x:v>
      </x:c>
      <x:c r="J9" s="37" t="n">
        <x:v>0.1325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9.329999923706055" hidden="0" customWidth="1"/>
    <x:col min="3" max="3" width="13.5600004196167" hidden="0" customWidth="1"/>
    <x:col min="4" max="4" width="9.670000076293945" hidden="0" customWidth="1"/>
    <x:col min="5" max="5" width="10.670000076293945" hidden="0" customWidth="1"/>
  </x:cols>
  <x:sheetData>
    <x:row r="2">
      <x:c r="A2" s="29" t="str">
        <x:v>Calibration by Risk Decile</x:v>
      </x:c>
      <x:c r="B2" s="30"/>
      <x:c r="C2" s="30"/>
      <x:c r="D2" s="30"/>
      <x:c r="E2" s="30"/>
    </x:row>
    <x:row r="3">
      <x:c r="A3" s="31" t="str">
        <x:v>Predicted PD compared with observed default rate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Risk band</x:v>
      </x:c>
      <x:c r="B6" s="9" t="str">
        <x:v>Applications</x:v>
      </x:c>
      <x:c r="C6" s="9" t="str">
        <x:v>Observed bad rate</x:v>
      </x:c>
      <x:c r="D6" s="9" t="str">
        <x:v>Predicted PD</x:v>
      </x:c>
      <x:c r="E6" s="9" t="str">
        <x:v>Average score</x:v>
      </x:c>
    </x:row>
    <x:row r="7">
      <x:c r="A7" s="34" t="str">
        <x:v>(0.015799999999999998, 0.0491]</x:v>
      </x:c>
      <x:c r="B7" s="40" t="n">
        <x:v>240</x:v>
      </x:c>
      <x:c r="C7" s="35" t="n">
        <x:v>0.04583333333333333</x:v>
      </x:c>
      <x:c r="D7" s="35" t="n">
        <x:v>0.038473006015968925</x:v>
      </x:c>
      <x:c r="E7" s="42" t="n">
        <x:v>617.9916666666667</x:v>
      </x:c>
    </x:row>
    <x:row r="8">
      <x:c r="A8" s="34" t="str">
        <x:v>(0.0491, 0.0664]</x:v>
      </x:c>
      <x:c r="B8" s="40" t="n">
        <x:v>240</x:v>
      </x:c>
      <x:c r="C8" s="35" t="n">
        <x:v>0.0625</x:v>
      </x:c>
      <x:c r="D8" s="35" t="n">
        <x:v>0.057770877582584056</x:v>
      </x:c>
      <x:c r="E8" s="42" t="n">
        <x:v>585.5375</x:v>
      </x:c>
    </x:row>
    <x:row r="9">
      <x:c r="A9" s="34" t="str">
        <x:v>(0.0664, 0.0819]</x:v>
      </x:c>
      <x:c r="B9" s="40" t="n">
        <x:v>240</x:v>
      </x:c>
      <x:c r="C9" s="35" t="n">
        <x:v>0.07083333333333333</x:v>
      </x:c>
      <x:c r="D9" s="35" t="n">
        <x:v>0.07392572424465942</x:v>
      </x:c>
      <x:c r="E9" s="42" t="n">
        <x:v>566.3625</x:v>
      </x:c>
    </x:row>
    <x:row r="10">
      <x:c r="A10" s="34" t="str">
        <x:v>(0.0819, 0.0973]</x:v>
      </x:c>
      <x:c r="B10" s="40" t="n">
        <x:v>240</x:v>
      </x:c>
      <x:c r="C10" s="35" t="n">
        <x:v>0.07916666666666666</x:v>
      </x:c>
      <x:c r="D10" s="35" t="n">
        <x:v>0.08955591244253341</x:v>
      </x:c>
      <x:c r="E10" s="42" t="n">
        <x:v>551.3041666666667</x:v>
      </x:c>
    </x:row>
    <x:row r="11">
      <x:c r="A11" s="34" t="str">
        <x:v>(0.0973, 0.114]</x:v>
      </x:c>
      <x:c r="B11" s="40" t="n">
        <x:v>240</x:v>
      </x:c>
      <x:c r="C11" s="35" t="n">
        <x:v>0.09583333333333334</x:v>
      </x:c>
      <x:c r="D11" s="35" t="n">
        <x:v>0.1057047064458475</x:v>
      </x:c>
      <x:c r="E11" s="42" t="n">
        <x:v>537.9958333333333</x:v>
      </x:c>
    </x:row>
    <x:row r="12">
      <x:c r="A12" s="34" t="str">
        <x:v>(0.114, 0.135]</x:v>
      </x:c>
      <x:c r="B12" s="40" t="n">
        <x:v>240</x:v>
      </x:c>
      <x:c r="C12" s="35" t="n">
        <x:v>0.10833333333333334</x:v>
      </x:c>
      <x:c r="D12" s="35" t="n">
        <x:v>0.12440150365831319</x:v>
      </x:c>
      <x:c r="E12" s="42" t="n">
        <x:v>524.7541666666667</x:v>
      </x:c>
    </x:row>
    <x:row r="13">
      <x:c r="A13" s="34" t="str">
        <x:v>(0.135, 0.16]</x:v>
      </x:c>
      <x:c r="B13" s="40" t="n">
        <x:v>240</x:v>
      </x:c>
      <x:c r="C13" s="35" t="n">
        <x:v>0.14583333333333334</x:v>
      </x:c>
      <x:c r="D13" s="35" t="n">
        <x:v>0.1469233378506703</x:v>
      </x:c>
      <x:c r="E13" s="42" t="n">
        <x:v>510.8666666666667</x:v>
      </x:c>
    </x:row>
    <x:row r="14">
      <x:c r="A14" s="34" t="str">
        <x:v>(0.16, 0.188]</x:v>
      </x:c>
      <x:c r="B14" s="40" t="n">
        <x:v>240</x:v>
      </x:c>
      <x:c r="C14" s="35" t="n">
        <x:v>0.2125</x:v>
      </x:c>
      <x:c r="D14" s="35" t="n">
        <x:v>0.17381593763740497</x:v>
      </x:c>
      <x:c r="E14" s="42" t="n">
        <x:v>496.4291666666667</x:v>
      </x:c>
    </x:row>
    <x:row r="15">
      <x:c r="A15" s="34" t="str">
        <x:v>(0.188, 0.241]</x:v>
      </x:c>
      <x:c r="B15" s="40" t="n">
        <x:v>240</x:v>
      </x:c>
      <x:c r="C15" s="35" t="n">
        <x:v>0.19583333333333333</x:v>
      </x:c>
      <x:c r="D15" s="35" t="n">
        <x:v>0.2115974092333304</x:v>
      </x:c>
      <x:c r="E15" s="42" t="n">
        <x:v>479.00416666666666</x:v>
      </x:c>
    </x:row>
    <x:row r="16">
      <x:c r="A16" s="36" t="str">
        <x:v>(0.241, 0.617]</x:v>
      </x:c>
      <x:c r="B16" s="41" t="n">
        <x:v>240</x:v>
      </x:c>
      <x:c r="C16" s="37" t="n">
        <x:v>0.30833333333333335</x:v>
      </x:c>
      <x:c r="D16" s="37" t="n">
        <x:v>0.3139012423978017</x:v>
      </x:c>
      <x:c r="E16" s="43" t="n">
        <x:v>441.2583333333333</x:v>
      </x:c>
    </x:row>
  </x:sheetData>
  <x:mergeCells>
    <x:mergeCell ref="A2:E2"/>
    <x:mergeCell ref="A3:E3"/>
  </x:mergeCells>
  <x:pageMargins left="0.7" right="0.7" top="0.75" bottom="0.75" header="0.3" footer="0.3"/>
  <x:drawing xmlns:r="http://schemas.openxmlformats.org/officeDocument/2006/relationships" r:id="R2247ee9ea8334cbe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4.670000076293945" hidden="0" customWidth="1"/>
    <x:col min="4" max="4" width="7.670000076293945" hidden="0" customWidth="1"/>
    <x:col min="5" max="5" width="8.109999656677246" hidden="0" customWidth="1"/>
    <x:col min="6" max="6" width="9.4399995803833" hidden="0" customWidth="1"/>
    <x:col min="7" max="7" width="7.329999923706055" hidden="0" customWidth="1"/>
  </x:cols>
  <x:sheetData>
    <x:row r="2">
      <x:c r="A2" s="29" t="str">
        <x:v>Monotonic WOE Scorecard</x:v>
      </x:c>
      <x:c r="B2" s="30"/>
      <x:c r="C2" s="30"/>
      <x:c r="D2" s="30"/>
      <x:c r="E2" s="30"/>
      <x:c r="F2" s="30"/>
      <x:c r="G2" s="30"/>
    </x:row>
    <x:row r="3">
      <x:c r="A3" s="31" t="str">
        <x:v>Bin-level WOE, IV, coefficient and score contribution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Feature</x:v>
      </x:c>
      <x:c r="B6" s="9" t="str">
        <x:v>Bin</x:v>
      </x:c>
      <x:c r="C6" s="9" t="str">
        <x:v>WOE</x:v>
      </x:c>
      <x:c r="D6" s="9" t="str">
        <x:v>Feature IV</x:v>
      </x:c>
      <x:c r="E6" s="9" t="str">
        <x:v>Coefficient</x:v>
      </x:c>
      <x:c r="F6" s="9" t="str">
        <x:v>Score points</x:v>
      </x:c>
      <x:c r="G6" s="9" t="str">
        <x:v>Bin count</x:v>
      </x:c>
    </x:row>
    <x:row r="7">
      <x:c r="A7" s="34" t="str">
        <x:v>age</x:v>
      </x:c>
      <x:c r="B7" s="34" t="str">
        <x:v>(-inf, 41.0]</x:v>
      </x:c>
      <x:c r="C7" s="38" t="n">
        <x:v>0.004937928219895507</x:v>
      </x:c>
      <x:c r="D7" s="38" t="n">
        <x:v>0.00007970807555935814</x:v>
      </x:c>
      <x:c r="E7" s="38" t="n">
        <x:v>-0.027236694800095794</x:v>
      </x:c>
      <x:c r="F7" s="44" t="n">
        <x:v>0.009701607944320487</x:v>
      </x:c>
      <x:c r="G7" s="42" t="n">
        <x:v>2</x:v>
      </x:c>
    </x:row>
    <x:row r="8">
      <x:c r="A8" s="34" t="str">
        <x:v>age</x:v>
      </x:c>
      <x:c r="B8" s="34" t="str">
        <x:v>(41.0, inf]</x:v>
      </x:c>
      <x:c r="C8" s="38" t="n">
        <x:v>-0.01614211496392684</x:v>
      </x:c>
      <x:c r="D8" s="38" t="n">
        <x:v>0.00007970807555935814</x:v>
      </x:c>
      <x:c r="E8" s="38" t="n">
        <x:v>-0.027236694800095794</x:v>
      </x:c>
      <x:c r="F8" s="44" t="n">
        <x:v>-0.0317146106217561</x:v>
      </x:c>
      <x:c r="G8" s="42" t="n">
        <x:v>2</x:v>
      </x:c>
    </x:row>
    <x:row r="9">
      <x:c r="A9" s="34" t="str">
        <x:v>monthly_income</x:v>
      </x:c>
      <x:c r="B9" s="34" t="str">
        <x:v>(-inf, 9709602.5]</x:v>
      </x:c>
      <x:c r="C9" s="38" t="n">
        <x:v>-0.26566077302381613</x:v>
      </x:c>
      <x:c r="D9" s="38" t="n">
        <x:v>0.06724640554457158</x:v>
      </x:c>
      <x:c r="E9" s="38" t="n">
        <x:v>-0.9864916246265399</x:v>
      </x:c>
      <x:c r="F9" s="44" t="n">
        <x:v>-18.90450794073036</x:v>
      </x:c>
      <x:c r="G9" s="42" t="n">
        <x:v>7</x:v>
      </x:c>
    </x:row>
    <x:row r="10">
      <x:c r="A10" s="34" t="str">
        <x:v>monthly_income</x:v>
      </x:c>
      <x:c r="B10" s="34" t="str">
        <x:v>(15320245.25, 18087163.5]</x:v>
      </x:c>
      <x:c r="C10" s="38" t="n">
        <x:v>-0.11190582464686877</x:v>
      </x:c>
      <x:c r="D10" s="38" t="n">
        <x:v>0.06724640554457158</x:v>
      </x:c>
      <x:c r="E10" s="38" t="n">
        <x:v>-0.9864916246265399</x:v>
      </x:c>
      <x:c r="F10" s="44" t="n">
        <x:v>-7.963255269384674</x:v>
      </x:c>
      <x:c r="G10" s="42" t="n">
        <x:v>7</x:v>
      </x:c>
    </x:row>
    <x:row r="11">
      <x:c r="A11" s="34" t="str">
        <x:v>monthly_income</x:v>
      </x:c>
      <x:c r="B11" s="34" t="str">
        <x:v>(18087163.5, 21605372.0]</x:v>
      </x:c>
      <x:c r="C11" s="38" t="n">
        <x:v>0.030456284193546384</x:v>
      </x:c>
      <x:c r="D11" s="38" t="n">
        <x:v>0.06724640554457158</x:v>
      </x:c>
      <x:c r="E11" s="38" t="n">
        <x:v>-0.9864916246265399</x:v>
      </x:c>
      <x:c r="F11" s="44" t="n">
        <x:v>2.1672791953007753</x:v>
      </x:c>
      <x:c r="G11" s="42" t="n">
        <x:v>7</x:v>
      </x:c>
    </x:row>
    <x:row r="12">
      <x:c r="A12" s="34" t="str">
        <x:v>monthly_income</x:v>
      </x:c>
      <x:c r="B12" s="34" t="str">
        <x:v>(21605372.0, 26363887.25]</x:v>
      </x:c>
      <x:c r="C12" s="38" t="n">
        <x:v>0.08144371475401944</x:v>
      </x:c>
      <x:c r="D12" s="38" t="n">
        <x:v>0.06724640554457158</x:v>
      </x:c>
      <x:c r="E12" s="38" t="n">
        <x:v>-0.9864916246265399</x:v>
      </x:c>
      <x:c r="F12" s="44" t="n">
        <x:v>5.795561515406383</x:v>
      </x:c>
      <x:c r="G12" s="42" t="n">
        <x:v>7</x:v>
      </x:c>
    </x:row>
    <x:row r="13">
      <x:c r="A13" s="34" t="str">
        <x:v>monthly_income</x:v>
      </x:c>
      <x:c r="B13" s="34" t="str">
        <x:v>(26363887.25, 34771742.875]</x:v>
      </x:c>
      <x:c r="C13" s="38" t="n">
        <x:v>0.333145517985032</x:v>
      </x:c>
      <x:c r="D13" s="38" t="n">
        <x:v>0.06724640554457158</x:v>
      </x:c>
      <x:c r="E13" s="38" t="n">
        <x:v>-0.9864916246265399</x:v>
      </x:c>
      <x:c r="F13" s="44" t="n">
        <x:v>23.706744576859915</x:v>
      </x:c>
      <x:c r="G13" s="42" t="n">
        <x:v>7</x:v>
      </x:c>
    </x:row>
    <x:row r="14">
      <x:c r="A14" s="34" t="str">
        <x:v>monthly_income</x:v>
      </x:c>
      <x:c r="B14" s="34" t="str">
        <x:v>(34771742.875, inf]</x:v>
      </x:c>
      <x:c r="C14" s="38" t="n">
        <x:v>0.5545640446200455</x:v>
      </x:c>
      <x:c r="D14" s="38" t="n">
        <x:v>0.06724640554457158</x:v>
      </x:c>
      <x:c r="E14" s="38" t="n">
        <x:v>-0.9864916246265399</x:v>
      </x:c>
      <x:c r="F14" s="44" t="n">
        <x:v>39.462959720528026</x:v>
      </x:c>
      <x:c r="G14" s="42" t="n">
        <x:v>7</x:v>
      </x:c>
    </x:row>
    <x:row r="15">
      <x:c r="A15" s="34" t="str">
        <x:v>monthly_income</x:v>
      </x:c>
      <x:c r="B15" s="34" t="str">
        <x:v>(9709602.5, 15320245.25]</x:v>
      </x:c>
      <x:c r="C15" s="38" t="n">
        <x:v>-0.2063408331558234</x:v>
      </x:c>
      <x:c r="D15" s="38" t="n">
        <x:v>0.06724640554457158</x:v>
      </x:c>
      <x:c r="E15" s="38" t="n">
        <x:v>-0.9864916246265399</x:v>
      </x:c>
      <x:c r="F15" s="44" t="n">
        <x:v>-14.68328151910287</x:v>
      </x:c>
      <x:c r="G15" s="42" t="n">
        <x:v>7</x:v>
      </x:c>
    </x:row>
    <x:row r="16">
      <x:c r="A16" s="34" t="str">
        <x:v>employment_months</x:v>
      </x:c>
      <x:c r="B16" s="34" t="str">
        <x:v>(-inf, 23.0]</x:v>
      </x:c>
      <x:c r="C16" s="38" t="n">
        <x:v>-0.10117709823017097</x:v>
      </x:c>
      <x:c r="D16" s="38" t="n">
        <x:v>0.004025915709632026</x:v>
      </x:c>
      <x:c r="E16" s="38" t="n">
        <x:v>-0.6257825387629374</x:v>
      </x:c>
      <x:c r="F16" s="44" t="n">
        <x:v>-4.56720182746728</x:v>
      </x:c>
      <x:c r="G16" s="42" t="n">
        <x:v>5</x:v>
      </x:c>
    </x:row>
    <x:row r="17">
      <x:c r="A17" s="34" t="str">
        <x:v>employment_months</x:v>
      </x:c>
      <x:c r="B17" s="34" t="str">
        <x:v>(23.0, 42.0]</x:v>
      </x:c>
      <x:c r="C17" s="38" t="n">
        <x:v>-0.02965314994655122</x:v>
      </x:c>
      <x:c r="D17" s="38" t="n">
        <x:v>0.004025915709632026</x:v>
      </x:c>
      <x:c r="E17" s="38" t="n">
        <x:v>-0.6257825387629374</x:v>
      </x:c>
      <x:c r="F17" s="44" t="n">
        <x:v>-1.3385630048210284</x:v>
      </x:c>
      <x:c r="G17" s="42" t="n">
        <x:v>5</x:v>
      </x:c>
    </x:row>
    <x:row r="18">
      <x:c r="A18" s="34" t="str">
        <x:v>employment_months</x:v>
      </x:c>
      <x:c r="B18" s="34" t="str">
        <x:v>(42.0, 62.0]</x:v>
      </x:c>
      <x:c r="C18" s="38" t="n">
        <x:v>-0.020779085085265398</x:v>
      </x:c>
      <x:c r="D18" s="38" t="n">
        <x:v>0.004025915709632026</x:v>
      </x:c>
      <x:c r="E18" s="38" t="n">
        <x:v>-0.6257825387629374</x:v>
      </x:c>
      <x:c r="F18" s="44" t="n">
        <x:v>-0.9379817867342475</x:v>
      </x:c>
      <x:c r="G18" s="42" t="n">
        <x:v>5</x:v>
      </x:c>
    </x:row>
    <x:row r="19">
      <x:c r="A19" s="34" t="str">
        <x:v>employment_months</x:v>
      </x:c>
      <x:c r="B19" s="34" t="str">
        <x:v>(62.0, 96.0]</x:v>
      </x:c>
      <x:c r="C19" s="38" t="n">
        <x:v>0.04717081534787965</x:v>
      </x:c>
      <x:c r="D19" s="38" t="n">
        <x:v>0.004025915709632026</x:v>
      </x:c>
      <x:c r="E19" s="38" t="n">
        <x:v>-0.6257825387629374</x:v>
      </x:c>
      <x:c r="F19" s="44" t="n">
        <x:v>2.1293221275218768</x:v>
      </x:c>
      <x:c r="G19" s="42" t="n">
        <x:v>5</x:v>
      </x:c>
    </x:row>
    <x:row r="20">
      <x:c r="A20" s="34" t="str">
        <x:v>employment_months</x:v>
      </x:c>
      <x:c r="B20" s="34" t="str">
        <x:v>(96.0, inf]</x:v>
      </x:c>
      <x:c r="C20" s="38" t="n">
        <x:v>0.12561382722769046</x:v>
      </x:c>
      <x:c r="D20" s="38" t="n">
        <x:v>0.004025915709632026</x:v>
      </x:c>
      <x:c r="E20" s="38" t="n">
        <x:v>-0.6257825387629374</x:v>
      </x:c>
      <x:c r="F20" s="44" t="n">
        <x:v>5.670292104684901</x:v>
      </x:c>
      <x:c r="G20" s="42" t="n">
        <x:v>5</x:v>
      </x:c>
    </x:row>
    <x:row r="21">
      <x:c r="A21" s="34" t="str">
        <x:v>bureau_score</x:v>
      </x:c>
      <x:c r="B21" s="34" t="str">
        <x:v>(-inf, 557.0]</x:v>
      </x:c>
      <x:c r="C21" s="38" t="n">
        <x:v>-0.5494600634446275</x:v>
      </x:c>
      <x:c r="D21" s="38" t="n">
        <x:v>0.13031322049241645</x:v>
      </x:c>
      <x:c r="E21" s="38" t="n">
        <x:v>-1.021351629475904</x:v>
      </x:c>
      <x:c r="F21" s="44" t="n">
        <x:v>-40.48144080148722</x:v>
      </x:c>
      <x:c r="G21" s="42" t="n">
        <x:v>6</x:v>
      </x:c>
    </x:row>
    <x:row r="22">
      <x:c r="A22" s="34" t="str">
        <x:v>bureau_score</x:v>
      </x:c>
      <x:c r="B22" s="34" t="str">
        <x:v>(557.0, 591.0]</x:v>
      </x:c>
      <x:c r="C22" s="38" t="n">
        <x:v>-0.2579837464973058</x:v>
      </x:c>
      <x:c r="D22" s="38" t="n">
        <x:v>0.13031322049241645</x:v>
      </x:c>
      <x:c r="E22" s="38" t="n">
        <x:v>-1.021351629475904</x:v>
      </x:c>
      <x:c r="F22" s="44" t="n">
        <x:v>-19.006938732006738</x:v>
      </x:c>
      <x:c r="G22" s="42" t="n">
        <x:v>6</x:v>
      </x:c>
    </x:row>
    <x:row r="23">
      <x:c r="A23" s="34" t="str">
        <x:v>bureau_score</x:v>
      </x:c>
      <x:c r="B23" s="34" t="str">
        <x:v>(591.0, 638.0]</x:v>
      </x:c>
      <x:c r="C23" s="38" t="n">
        <x:v>-0.1146105430744878</x:v>
      </x:c>
      <x:c r="D23" s="38" t="n">
        <x:v>0.13031322049241645</x:v>
      </x:c>
      <x:c r="E23" s="38" t="n">
        <x:v>-1.021351629475904</x:v>
      </x:c>
      <x:c r="F23" s="44" t="n">
        <x:v>-8.443925634212611</x:v>
      </x:c>
      <x:c r="G23" s="42" t="n">
        <x:v>6</x:v>
      </x:c>
    </x:row>
    <x:row r="24">
      <x:c r="A24" s="34" t="str">
        <x:v>bureau_score</x:v>
      </x:c>
      <x:c r="B24" s="34" t="str">
        <x:v>(638.0, 661.0]</x:v>
      </x:c>
      <x:c r="C24" s="38" t="n">
        <x:v>0.08070585044917199</x:v>
      </x:c>
      <x:c r="D24" s="38" t="n">
        <x:v>0.13031322049241645</x:v>
      </x:c>
      <x:c r="E24" s="38" t="n">
        <x:v>-1.021351629475904</x:v>
      </x:c>
      <x:c r="F24" s="44" t="n">
        <x:v>5.9459992175046965</x:v>
      </x:c>
      <x:c r="G24" s="42" t="n">
        <x:v>6</x:v>
      </x:c>
    </x:row>
    <x:row r="25">
      <x:c r="A25" s="34" t="str">
        <x:v>bureau_score</x:v>
      </x:c>
      <x:c r="B25" s="34" t="str">
        <x:v>(661.0, 720.0]</x:v>
      </x:c>
      <x:c r="C25" s="38" t="n">
        <x:v>0.33420858962955163</x:v>
      </x:c>
      <x:c r="D25" s="38" t="n">
        <x:v>0.13031322049241645</x:v>
      </x:c>
      <x:c r="E25" s="38" t="n">
        <x:v>-1.021351629475904</x:v>
      </x:c>
      <x:c r="F25" s="44" t="n">
        <x:v>24.622799974980627</x:v>
      </x:c>
      <x:c r="G25" s="42" t="n">
        <x:v>6</x:v>
      </x:c>
    </x:row>
    <x:row r="26">
      <x:c r="A26" s="34" t="str">
        <x:v>bureau_score</x:v>
      </x:c>
      <x:c r="B26" s="34" t="str">
        <x:v>(720.0, inf]</x:v>
      </x:c>
      <x:c r="C26" s="38" t="n">
        <x:v>0.6934535492004055</x:v>
      </x:c>
      <x:c r="D26" s="38" t="n">
        <x:v>0.13031322049241645</x:v>
      </x:c>
      <x:c r="E26" s="38" t="n">
        <x:v>-1.021351629475904</x:v>
      </x:c>
      <x:c r="F26" s="44" t="n">
        <x:v>51.090153167003386</x:v>
      </x:c>
      <x:c r="G26" s="42" t="n">
        <x:v>6</x:v>
      </x:c>
    </x:row>
    <x:row r="27">
      <x:c r="A27" s="34" t="str">
        <x:v>existing_dti</x:v>
      </x:c>
      <x:c r="B27" s="34" t="str">
        <x:v>(-inf, 0.125]</x:v>
      </x:c>
      <x:c r="C27" s="38" t="n">
        <x:v>0.32055174687951693</x:v>
      </x:c>
      <x:c r="D27" s="38" t="n">
        <x:v>0.08342145186928579</x:v>
      </x:c>
      <x:c r="E27" s="38" t="n">
        <x:v>-1.0616127154063582</x:v>
      </x:c>
      <x:c r="F27" s="44" t="n">
        <x:v>24.547586715862387</x:v>
      </x:c>
      <x:c r="G27" s="42" t="n">
        <x:v>7</x:v>
      </x:c>
    </x:row>
    <x:row r="28">
      <x:c r="A28" s="34" t="str">
        <x:v>existing_dti</x:v>
      </x:c>
      <x:c r="B28" s="34" t="str">
        <x:v>(0.125, 0.241]</x:v>
      </x:c>
      <x:c r="C28" s="38" t="n">
        <x:v>0.2380861588940059</x:v>
      </x:c>
      <x:c r="D28" s="38" t="n">
        <x:v>0.08342145186928579</x:v>
      </x:c>
      <x:c r="E28" s="38" t="n">
        <x:v>-1.0616127154063582</x:v>
      </x:c>
      <x:c r="F28" s="44" t="n">
        <x:v>18.232440434941385</x:v>
      </x:c>
      <x:c r="G28" s="42" t="n">
        <x:v>7</x:v>
      </x:c>
    </x:row>
    <x:row r="29">
      <x:c r="A29" s="34" t="str">
        <x:v>existing_dti</x:v>
      </x:c>
      <x:c r="B29" s="34" t="str">
        <x:v>(0.241, 0.298]</x:v>
      </x:c>
      <x:c r="C29" s="38" t="n">
        <x:v>0.17851718962714708</x:v>
      </x:c>
      <x:c r="D29" s="38" t="n">
        <x:v>0.08342145186928579</x:v>
      </x:c>
      <x:c r="E29" s="38" t="n">
        <x:v>-1.0616127154063582</x:v>
      </x:c>
      <x:c r="F29" s="44" t="n">
        <x:v>13.670698211142582</x:v>
      </x:c>
      <x:c r="G29" s="42" t="n">
        <x:v>7</x:v>
      </x:c>
    </x:row>
    <x:row r="30">
      <x:c r="A30" s="34" t="str">
        <x:v>existing_dti</x:v>
      </x:c>
      <x:c r="B30" s="34" t="str">
        <x:v>(0.298, 0.358]</x:v>
      </x:c>
      <x:c r="C30" s="38" t="n">
        <x:v>0.11300638551679897</x:v>
      </x:c>
      <x:c r="D30" s="38" t="n">
        <x:v>0.08342145186928579</x:v>
      </x:c>
      <x:c r="E30" s="38" t="n">
        <x:v>-1.0616127154063582</x:v>
      </x:c>
      <x:c r="F30" s="44" t="n">
        <x:v>8.653935206793461</x:v>
      </x:c>
      <x:c r="G30" s="42" t="n">
        <x:v>7</x:v>
      </x:c>
    </x:row>
    <x:row r="31">
      <x:c r="A31" s="34" t="str">
        <x:v>existing_dti</x:v>
      </x:c>
      <x:c r="B31" s="34" t="str">
        <x:v>(0.358, 0.429]</x:v>
      </x:c>
      <x:c r="C31" s="38" t="n">
        <x:v>-0.036541138135608296</x:v>
      </x:c>
      <x:c r="D31" s="38" t="n">
        <x:v>0.08342145186928579</x:v>
      </x:c>
      <x:c r="E31" s="38" t="n">
        <x:v>-1.0616127154063582</x:v>
      </x:c>
      <x:c r="F31" s="44" t="n">
        <x:v>-2.7982900290270365</x:v>
      </x:c>
      <x:c r="G31" s="42" t="n">
        <x:v>7</x:v>
      </x:c>
    </x:row>
    <x:row r="32">
      <x:c r="A32" s="34" t="str">
        <x:v>existing_dti</x:v>
      </x:c>
      <x:c r="B32" s="34" t="str">
        <x:v>(0.429, 0.526]</x:v>
      </x:c>
      <x:c r="C32" s="38" t="n">
        <x:v>-0.2897850484259057</x:v>
      </x:c>
      <x:c r="D32" s="38" t="n">
        <x:v>0.08342145186928579</x:v>
      </x:c>
      <x:c r="E32" s="38" t="n">
        <x:v>-1.0616127154063582</x:v>
      </x:c>
      <x:c r="F32" s="44" t="n">
        <x:v>-22.191498484857735</x:v>
      </x:c>
      <x:c r="G32" s="42" t="n">
        <x:v>7</x:v>
      </x:c>
    </x:row>
    <x:row r="33">
      <x:c r="A33" s="34" t="str">
        <x:v>existing_dti</x:v>
      </x:c>
      <x:c r="B33" s="34" t="str">
        <x:v>(0.526, inf]</x:v>
      </x:c>
      <x:c r="C33" s="38" t="n">
        <x:v>-0.5275388406992619</x:v>
      </x:c>
      <x:c r="D33" s="38" t="n">
        <x:v>0.08342145186928579</x:v>
      </x:c>
      <x:c r="E33" s="38" t="n">
        <x:v>-1.0616127154063582</x:v>
      </x:c>
      <x:c r="F33" s="44" t="n">
        <x:v>-40.39848655985637</x:v>
      </x:c>
      <x:c r="G33" s="42" t="n">
        <x:v>7</x:v>
      </x:c>
    </x:row>
    <x:row r="34">
      <x:c r="A34" s="34" t="str">
        <x:v>requested_amount</x:v>
      </x:c>
      <x:c r="B34" s="34" t="str">
        <x:v>(-inf, 26386371.75]</x:v>
      </x:c>
      <x:c r="C34" s="38" t="n">
        <x:v>0.43745652769513077</x:v>
      </x:c>
      <x:c r="D34" s="38" t="n">
        <x:v>0.07744603225342322</x:v>
      </x:c>
      <x:c r="E34" s="38" t="n">
        <x:v>-1.0448910802453741</x:v>
      </x:c>
      <x:c r="F34" s="44" t="n">
        <x:v>32.972392920541125</x:v>
      </x:c>
      <x:c r="G34" s="42" t="n">
        <x:v>4</x:v>
      </x:c>
    </x:row>
    <x:row r="35">
      <x:c r="A35" s="34" t="str">
        <x:v>requested_amount</x:v>
      </x:c>
      <x:c r="B35" s="34" t="str">
        <x:v>(116900394.875, inf]</x:v>
      </x:c>
      <x:c r="C35" s="38" t="n">
        <x:v>-0.5067612178363137</x:v>
      </x:c>
      <x:c r="D35" s="38" t="n">
        <x:v>0.07744603225342322</x:v>
      </x:c>
      <x:c r="E35" s="38" t="n">
        <x:v>-1.0448910802453741</x:v>
      </x:c>
      <x:c r="F35" s="44" t="n">
        <x:v>-38.196092488156175</x:v>
      </x:c>
      <x:c r="G35" s="42" t="n">
        <x:v>4</x:v>
      </x:c>
    </x:row>
    <x:row r="36">
      <x:c r="A36" s="34" t="str">
        <x:v>requested_amount</x:v>
      </x:c>
      <x:c r="B36" s="34" t="str">
        <x:v>(26386371.75, 67482354.25]</x:v>
      </x:c>
      <x:c r="C36" s="38" t="n">
        <x:v>0.15539101328108193</x:v>
      </x:c>
      <x:c r="D36" s="38" t="n">
        <x:v>0.07744603225342322</x:v>
      </x:c>
      <x:c r="E36" s="38" t="n">
        <x:v>-1.0448910802453741</x:v>
      </x:c>
      <x:c r="F36" s="44" t="n">
        <x:v>11.712280470976472</x:v>
      </x:c>
      <x:c r="G36" s="42" t="n">
        <x:v>4</x:v>
      </x:c>
    </x:row>
    <x:row r="37">
      <x:c r="A37" s="34" t="str">
        <x:v>requested_amount</x:v>
      </x:c>
      <x:c r="B37" s="34" t="str">
        <x:v>(67482354.25, 116900394.875]</x:v>
      </x:c>
      <x:c r="C37" s="38" t="n">
        <x:v>-0.16484072802297478</x:v>
      </x:c>
      <x:c r="D37" s="38" t="n">
        <x:v>0.07744603225342322</x:v>
      </x:c>
      <x:c r="E37" s="38" t="n">
        <x:v>-1.0448910802453741</x:v>
      </x:c>
      <x:c r="F37" s="44" t="n">
        <x:v>-12.424533432655592</x:v>
      </x:c>
      <x:c r="G37" s="42" t="n">
        <x:v>4</x:v>
      </x:c>
    </x:row>
    <x:row r="38">
      <x:c r="A38" s="34" t="str">
        <x:v>tenor_months</x:v>
      </x:c>
      <x:c r="B38" s="34" t="str">
        <x:v>(-inf, 9.0]</x:v>
      </x:c>
      <x:c r="C38" s="38" t="n">
        <x:v>-0.12486131212762624</x:v>
      </x:c>
      <x:c r="D38" s="38" t="n">
        <x:v>0.00503850337061999</x:v>
      </x:c>
      <x:c r="E38" s="38" t="n">
        <x:v>-0.6781646526461693</x:v>
      </x:c>
      <x:c r="F38" s="44" t="n">
        <x:v>-6.108120377808673</x:v>
      </x:c>
      <x:c r="G38" s="42" t="n">
        <x:v>3</x:v>
      </x:c>
    </x:row>
    <x:row r="39">
      <x:c r="A39" s="34" t="str">
        <x:v>tenor_months</x:v>
      </x:c>
      <x:c r="B39" s="34" t="str">
        <x:v>(24.0, inf]</x:v>
      </x:c>
      <x:c r="C39" s="38" t="n">
        <x:v>0.14330585448827787</x:v>
      </x:c>
      <x:c r="D39" s="38" t="n">
        <x:v>0.00503850337061999</x:v>
      </x:c>
      <x:c r="E39" s="38" t="n">
        <x:v>-0.6781646526461693</x:v>
      </x:c>
      <x:c r="F39" s="44" t="n">
        <x:v>7.0104133549743715</x:v>
      </x:c>
      <x:c r="G39" s="42" t="n">
        <x:v>3</x:v>
      </x:c>
    </x:row>
    <x:row r="40">
      <x:c r="A40" s="34" t="str">
        <x:v>tenor_months</x:v>
      </x:c>
      <x:c r="B40" s="34" t="str">
        <x:v>(9.0, 24.0]</x:v>
      </x:c>
      <x:c r="C40" s="38" t="n">
        <x:v>0.006979590897386309</x:v>
      </x:c>
      <x:c r="D40" s="38" t="n">
        <x:v>0.00503850337061999</x:v>
      </x:c>
      <x:c r="E40" s="38" t="n">
        <x:v>-0.6781646526461693</x:v>
      </x:c>
      <x:c r="F40" s="44" t="n">
        <x:v>0.3414362756777456</x:v>
      </x:c>
      <x:c r="G40" s="42" t="n">
        <x:v>3</x:v>
      </x:c>
    </x:row>
    <x:row r="41">
      <x:c r="A41" s="34" t="str">
        <x:v>inquiries_6m</x:v>
      </x:c>
      <x:c r="B41" s="34" t="str">
        <x:v>(-inf, 1.0]</x:v>
      </x:c>
      <x:c r="C41" s="38" t="n">
        <x:v>0.17043591854966167</x:v>
      </x:c>
      <x:c r="D41" s="38" t="n">
        <x:v>0.057846913891493726</x:v>
      </x:c>
      <x:c r="E41" s="38" t="n">
        <x:v>-0.9646894065095735</x:v>
      </x:c>
      <x:c r="F41" s="44" t="n">
        <x:v>11.860231832780846</x:v>
      </x:c>
      <x:c r="G41" s="42" t="n">
        <x:v>4</x:v>
      </x:c>
    </x:row>
    <x:row r="42">
      <x:c r="A42" s="34" t="str">
        <x:v>inquiries_6m</x:v>
      </x:c>
      <x:c r="B42" s="34" t="str">
        <x:v>(1.0, 2.0]</x:v>
      </x:c>
      <x:c r="C42" s="38" t="n">
        <x:v>-0.1695697954631284</x:v>
      </x:c>
      <x:c r="D42" s="38" t="n">
        <x:v>0.057846913891493726</x:v>
      </x:c>
      <x:c r="E42" s="38" t="n">
        <x:v>-0.9646894065095735</x:v>
      </x:c>
      <x:c r="F42" s="44" t="n">
        <x:v>-11.799960378914653</x:v>
      </x:c>
      <x:c r="G42" s="42" t="n">
        <x:v>4</x:v>
      </x:c>
    </x:row>
    <x:row r="43">
      <x:c r="A43" s="34" t="str">
        <x:v>inquiries_6m</x:v>
      </x:c>
      <x:c r="B43" s="34" t="str">
        <x:v>(2.0, 3.0]</x:v>
      </x:c>
      <x:c r="C43" s="38" t="n">
        <x:v>-0.40741480143943326</x:v>
      </x:c>
      <x:c r="D43" s="38" t="n">
        <x:v>0.057846913891493726</x:v>
      </x:c>
      <x:c r="E43" s="38" t="n">
        <x:v>-0.9646894065095735</x:v>
      </x:c>
      <x:c r="F43" s="44" t="n">
        <x:v>-28.35103092292189</x:v>
      </x:c>
      <x:c r="G43" s="42" t="n">
        <x:v>4</x:v>
      </x:c>
    </x:row>
    <x:row r="44">
      <x:c r="A44" s="34" t="str">
        <x:v>inquiries_6m</x:v>
      </x:c>
      <x:c r="B44" s="34" t="str">
        <x:v>(3.0, inf]</x:v>
      </x:c>
      <x:c r="C44" s="38" t="n">
        <x:v>-0.6053299896638592</x:v>
      </x:c>
      <x:c r="D44" s="38" t="n">
        <x:v>0.057846913891493726</x:v>
      </x:c>
      <x:c r="E44" s="38" t="n">
        <x:v>-0.9646894065095735</x:v>
      </x:c>
      <x:c r="F44" s="44" t="n">
        <x:v>-42.12348003778489</x:v>
      </x:c>
      <x:c r="G44" s="42" t="n">
        <x:v>4</x:v>
      </x:c>
    </x:row>
    <x:row r="45">
      <x:c r="A45" s="34" t="str">
        <x:v>employment_type</x:v>
      </x:c>
      <x:c r="B45" s="34" t="str">
        <x:v>Contract</x:v>
      </x:c>
      <x:c r="C45" s="38" t="n">
        <x:v>-0.14125512190330275</x:v>
      </x:c>
      <x:c r="D45" s="38" t="n">
        <x:v>0.010358510950557107</x:v>
      </x:c>
      <x:c r="E45" s="38" t="n">
        <x:v>-0.8484106772413729</x:v>
      </x:c>
      <x:c r="F45" s="44" t="n">
        <x:v>-8.644798464085326</x:v>
      </x:c>
      <x:c r="G45" s="42" t="n">
        <x:v>3</x:v>
      </x:c>
    </x:row>
    <x:row r="46">
      <x:c r="A46" s="34" t="str">
        <x:v>employment_type</x:v>
      </x:c>
      <x:c r="B46" s="34" t="str">
        <x:v>Salaried</x:v>
      </x:c>
      <x:c r="C46" s="38" t="n">
        <x:v>0.07909283799757796</x:v>
      </x:c>
      <x:c r="D46" s="38" t="n">
        <x:v>0.010358510950557107</x:v>
      </x:c>
      <x:c r="E46" s="38" t="n">
        <x:v>-0.8484106772413729</x:v>
      </x:c>
      <x:c r="F46" s="44" t="n">
        <x:v>4.840473288534429</x:v>
      </x:c>
      <x:c r="G46" s="42" t="n">
        <x:v>3</x:v>
      </x:c>
    </x:row>
    <x:row r="47">
      <x:c r="A47" s="34" t="str">
        <x:v>employment_type</x:v>
      </x:c>
      <x:c r="B47" s="34" t="str">
        <x:v>Self-employed</x:v>
      </x:c>
      <x:c r="C47" s="38" t="n">
        <x:v>-0.12466851417823165</x:v>
      </x:c>
      <x:c r="D47" s="38" t="n">
        <x:v>0.010358510950557107</x:v>
      </x:c>
      <x:c r="E47" s="38" t="n">
        <x:v>-0.8484106772413729</x:v>
      </x:c>
      <x:c r="F47" s="44" t="n">
        <x:v>-7.629699832233677</x:v>
      </x:c>
      <x:c r="G47" s="42" t="n">
        <x:v>3</x:v>
      </x:c>
    </x:row>
    <x:row r="48">
      <x:c r="A48" s="34" t="str">
        <x:v>home_ownership</x:v>
      </x:c>
      <x:c r="B48" s="34" t="str">
        <x:v>Family</x:v>
      </x:c>
      <x:c r="C48" s="38" t="n">
        <x:v>0.2041746286834832</x:v>
      </x:c>
      <x:c r="D48" s="38" t="n">
        <x:v>0.018833611757098113</x:v>
      </x:c>
      <x:c r="E48" s="38" t="n">
        <x:v>-1.0091043138779692</x:v>
      </x:c>
      <x:c r="F48" s="44" t="n">
        <x:v>14.862175333563023</x:v>
      </x:c>
      <x:c r="G48" s="42" t="n">
        <x:v>4</x:v>
      </x:c>
    </x:row>
    <x:row r="49">
      <x:c r="A49" s="34" t="str">
        <x:v>home_ownership</x:v>
      </x:c>
      <x:c r="B49" s="34" t="str">
        <x:v>Mortgage</x:v>
      </x:c>
      <x:c r="C49" s="38" t="n">
        <x:v>0.0010948471656498735</x:v>
      </x:c>
      <x:c r="D49" s="38" t="n">
        <x:v>0.018833611757098113</x:v>
      </x:c>
      <x:c r="E49" s="38" t="n">
        <x:v>-1.0091043138779692</x:v>
      </x:c>
      <x:c r="F49" s="44" t="n">
        <x:v>0.07969555592809684</x:v>
      </x:c>
      <x:c r="G49" s="42" t="n">
        <x:v>4</x:v>
      </x:c>
    </x:row>
    <x:row r="50">
      <x:c r="A50" s="34" t="str">
        <x:v>home_ownership</x:v>
      </x:c>
      <x:c r="B50" s="34" t="str">
        <x:v>Owned</x:v>
      </x:c>
      <x:c r="C50" s="38" t="n">
        <x:v>0.08729813086005052</x:v>
      </x:c>
      <x:c r="D50" s="38" t="n">
        <x:v>0.018833611757098113</x:v>
      </x:c>
      <x:c r="E50" s="38" t="n">
        <x:v>-1.0091043138779692</x:v>
      </x:c>
      <x:c r="F50" s="44" t="n">
        <x:v>6.354560973125241</x:v>
      </x:c>
      <x:c r="G50" s="42" t="n">
        <x:v>4</x:v>
      </x:c>
    </x:row>
    <x:row r="51">
      <x:c r="A51" s="34" t="str">
        <x:v>home_ownership</x:v>
      </x:c>
      <x:c r="B51" s="34" t="str">
        <x:v>Rented</x:v>
      </x:c>
      <x:c r="C51" s="38" t="n">
        <x:v>-0.15575586003322292</x:v>
      </x:c>
      <x:c r="D51" s="38" t="n">
        <x:v>0.018833611757098113</x:v>
      </x:c>
      <x:c r="E51" s="38" t="n">
        <x:v>-1.0091043138779692</x:v>
      </x:c>
      <x:c r="F51" s="44" t="n">
        <x:v>-11.337701045276459</x:v>
      </x:c>
      <x:c r="G51" s="42" t="n">
        <x:v>4</x:v>
      </x:c>
    </x:row>
    <x:row r="52">
      <x:c r="A52" s="34" t="str">
        <x:v>channel</x:v>
      </x:c>
      <x:c r="B52" s="34" t="str">
        <x:v>Branch</x:v>
      </x:c>
      <x:c r="C52" s="38" t="n">
        <x:v>0.14077098042088534</x:v>
      </x:c>
      <x:c r="D52" s="38" t="n">
        <x:v>0.008342745990863083</x:v>
      </x:c>
      <x:c r="E52" s="38" t="n">
        <x:v>-0.8360254844907095</x:v>
      </x:c>
      <x:c r="F52" s="44" t="n">
        <x:v>8.489403867554566</x:v>
      </x:c>
      <x:c r="G52" s="42" t="n">
        <x:v>3</x:v>
      </x:c>
    </x:row>
    <x:row r="53">
      <x:c r="A53" s="34" t="str">
        <x:v>channel</x:v>
      </x:c>
      <x:c r="B53" s="34" t="str">
        <x:v>Mobile</x:v>
      </x:c>
      <x:c r="C53" s="38" t="n">
        <x:v>0.023731450140218883</x:v>
      </x:c>
      <x:c r="D53" s="38" t="n">
        <x:v>0.008342745990863083</x:v>
      </x:c>
      <x:c r="E53" s="38" t="n">
        <x:v>-0.8360254844907095</x:v>
      </x:c>
      <x:c r="F53" s="44" t="n">
        <x:v>1.4311604849287691</x:v>
      </x:c>
      <x:c r="G53" s="42" t="n">
        <x:v>3</x:v>
      </x:c>
    </x:row>
    <x:row r="54">
      <x:c r="A54" s="36" t="str">
        <x:v>channel</x:v>
      </x:c>
      <x:c r="B54" s="36" t="str">
        <x:v>Partner</x:v>
      </x:c>
      <x:c r="C54" s="39" t="n">
        <x:v>-0.13917504169283199</x:v>
      </x:c>
      <x:c r="D54" s="39" t="n">
        <x:v>0.008342745990863083</x:v>
      </x:c>
      <x:c r="E54" s="39" t="n">
        <x:v>-0.8360254844907095</x:v>
      </x:c>
      <x:c r="F54" s="45" t="n">
        <x:v>-8.39315840297225</x:v>
      </x:c>
      <x:c r="G54" s="43" t="n">
        <x:v>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440000534057617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6.78000020980835" hidden="0" customWidth="1"/>
    <x:col min="7" max="7" width="6.440000057220459" hidden="0" customWidth="1"/>
  </x:cols>
  <x:sheetData>
    <x:row r="2">
      <x:c r="A2" s="29" t="str">
        <x:v>Reject Inference Sensitivity</x:v>
      </x:c>
      <x:c r="B2" s="30"/>
      <x:c r="C2" s="30"/>
      <x:c r="D2" s="30"/>
      <x:c r="E2" s="30"/>
      <x:c r="F2" s="30"/>
      <x:c r="G2" s="30"/>
    </x:row>
    <x:row r="3">
      <x:c r="A3" s="31" t="str">
        <x:v>Accepted-only and fuzzy augmentation sensitivity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Method</x:v>
      </x:c>
      <x:c r="B6" s="9" t="str">
        <x:v>AUC</x:v>
      </x:c>
      <x:c r="C6" s="9" t="str">
        <x:v>Gini</x:v>
      </x:c>
      <x:c r="D6" s="9" t="str">
        <x:v>KS</x:v>
      </x:c>
      <x:c r="E6" s="9" t="str">
        <x:v>Brier</x:v>
      </x:c>
      <x:c r="F6" s="9" t="str">
        <x:v>Mean PD</x:v>
      </x:c>
      <x:c r="G6" s="9" t="str">
        <x:v>Bad rate</x:v>
      </x:c>
    </x:row>
    <x:row r="7">
      <x:c r="A7" s="34" t="str">
        <x:v>Full-information benchmark</x:v>
      </x:c>
      <x:c r="B7" s="38" t="n">
        <x:v>0.6861848186613017</x:v>
      </x:c>
      <x:c r="C7" s="38" t="n">
        <x:v>0.3723696373226033</x:v>
      </x:c>
      <x:c r="D7" s="38" t="n">
        <x:v>0.2947274935203813</x:v>
      </x:c>
      <x:c r="E7" s="38" t="n">
        <x:v>0.10820914360337476</x:v>
      </x:c>
      <x:c r="F7" s="35" t="n">
        <x:v>0.1336069657509114</x:v>
      </x:c>
      <x:c r="G7" s="35" t="n">
        <x:v>0.1325</x:v>
      </x:c>
    </x:row>
    <x:row r="8">
      <x:c r="A8" s="34" t="str">
        <x:v>Accepted-only</x:v>
      </x:c>
      <x:c r="B8" s="38" t="n">
        <x:v>0.6831700590264561</x:v>
      </x:c>
      <x:c r="C8" s="38" t="n">
        <x:v>0.3663401180529122</x:v>
      </x:c>
      <x:c r="D8" s="38" t="n">
        <x:v>0.2812516992006959</x:v>
      </x:c>
      <x:c r="E8" s="38" t="n">
        <x:v>0.10918424127542936</x:v>
      </x:c>
      <x:c r="F8" s="35" t="n">
        <x:v>0.11451857173482173</x:v>
      </x:c>
      <x:c r="G8" s="35" t="n">
        <x:v>0.1325</x:v>
      </x:c>
    </x:row>
    <x:row r="9">
      <x:c r="A9" s="36" t="str">
        <x:v>Fuzzy augmentation</x:v>
      </x:c>
      <x:c r="B9" s="39" t="n">
        <x:v>0.6892214791051179</x:v>
      </x:c>
      <x:c r="C9" s="39" t="n">
        <x:v>0.37844295821023577</x:v>
      </x:c>
      <x:c r="D9" s="39" t="n">
        <x:v>0.3084932847588494</x:v>
      </x:c>
      <x:c r="E9" s="39" t="n">
        <x:v>0.10897799812667136</x:v>
      </x:c>
      <x:c r="F9" s="37" t="n">
        <x:v>0.11534594804879893</x:v>
      </x:c>
      <x:c r="G9" s="37" t="n">
        <x:v>0.1325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.329999923706055" hidden="0" customWidth="1"/>
    <x:col min="3" max="3" width="10" hidden="0" customWidth="1"/>
    <x:col min="4" max="4" width="6.440000057220459" hidden="0" customWidth="1"/>
    <x:col min="5" max="5" width="6.78000020980835" hidden="0" customWidth="1"/>
    <x:col min="6" max="6" width="5.559999942779541" hidden="0" customWidth="1"/>
    <x:col min="7" max="7" width="12.220000267028809" hidden="0" customWidth="1"/>
  </x:cols>
  <x:sheetData>
    <x:row r="2">
      <x:c r="A2" s="29" t="str">
        <x:v>Responsible Lending Review</x:v>
      </x:c>
      <x:c r="B2" s="30"/>
      <x:c r="C2" s="30"/>
      <x:c r="D2" s="30"/>
      <x:c r="E2" s="30"/>
      <x:c r="F2" s="30"/>
      <x:c r="G2" s="30"/>
      <x:c r="H2" s="30"/>
    </x:row>
    <x:row r="3">
      <x:c r="A3" s="31" t="str">
        <x:v>Segment approval, outcome and disparate-impact monitoring</x:v>
      </x:c>
      <x:c r="B3" s="30"/>
      <x:c r="C3" s="30"/>
      <x:c r="D3" s="30"/>
      <x:c r="E3" s="30"/>
      <x:c r="F3" s="30"/>
      <x:c r="G3" s="30"/>
      <x:c r="H3" s="30"/>
    </x:row>
    <x:row r="4" ht="3" customHeight="1">
      <x:c r="A4" s="32"/>
      <x:c r="B4" s="32"/>
      <x:c r="C4" s="32"/>
      <x:c r="D4" s="32"/>
      <x:c r="E4" s="32"/>
      <x:c r="F4" s="32"/>
      <x:c r="G4" s="32"/>
      <x:c r="H4" s="30"/>
    </x:row>
    <x:row r="5">
      <x:c r="A5" s="30"/>
      <x:c r="B5" s="30"/>
      <x:c r="C5" s="30"/>
      <x:c r="D5" s="30"/>
      <x:c r="E5" s="30"/>
      <x:c r="F5" s="30"/>
      <x:c r="G5" s="30"/>
      <x:c r="H5" s="30"/>
    </x:row>
    <x:row r="6">
      <x:c r="A6" s="59" t="str">
        <x:v>Group</x:v>
      </x:c>
      <x:c r="B6" s="59" t="str">
        <x:v>Applications</x:v>
      </x:c>
      <x:c r="C6" s="59" t="str">
        <x:v>Approval rate</x:v>
      </x:c>
      <x:c r="D6" s="59" t="str">
        <x:v>Bad rate</x:v>
      </x:c>
      <x:c r="E6" s="59" t="str">
        <x:v>Mean PD</x:v>
      </x:c>
      <x:c r="F6" s="59" t="str">
        <x:v>DI ratio</x:v>
      </x:c>
      <x:c r="G6" s="59" t="str">
        <x:v>Small sample</x:v>
      </x:c>
      <x:c r="H6" s="78" t="str">
        <x:v>Dimension</x:v>
      </x:c>
    </x:row>
    <x:row r="7">
      <x:c r="A7" s="34" t="str">
        <x:v>20-25</x:v>
      </x:c>
      <x:c r="B7" s="40" t="n">
        <x:v>366</x:v>
      </x:c>
      <x:c r="C7" s="35" t="n">
        <x:v>0.44808743169398907</x:v>
      </x:c>
      <x:c r="D7" s="35" t="n">
        <x:v>0.12568306010928962</x:v>
      </x:c>
      <x:c r="E7" s="35" t="n">
        <x:v>0.13304856417905844</x:v>
      </x:c>
      <x:c r="F7" s="46" t="n">
        <x:v>1</x:v>
      </x:c>
      <x:c r="G7" s="34" t="str">
        <x:v>NO</x:v>
      </x:c>
      <x:c r="H7" s="30" t="str">
        <x:v>age_band</x:v>
      </x:c>
    </x:row>
    <x:row r="8">
      <x:c r="A8" s="34" t="str">
        <x:v>26-35</x:v>
      </x:c>
      <x:c r="B8" s="40" t="n">
        <x:v>907</x:v>
      </x:c>
      <x:c r="C8" s="35" t="n">
        <x:v>0.3880926130099228</x:v>
      </x:c>
      <x:c r="D8" s="35" t="n">
        <x:v>0.12458654906284454</x:v>
      </x:c>
      <x:c r="E8" s="35" t="n">
        <x:v>0.13147271696759985</x:v>
      </x:c>
      <x:c r="F8" s="46" t="n">
        <x:v>0.8661091241562912</x:v>
      </x:c>
      <x:c r="G8" s="34" t="str">
        <x:v>NO</x:v>
      </x:c>
      <x:c r="H8" s="30" t="str">
        <x:v>age_band</x:v>
      </x:c>
    </x:row>
    <x:row r="9">
      <x:c r="A9" s="34" t="str">
        <x:v>36-45</x:v>
      </x:c>
      <x:c r="B9" s="40" t="n">
        <x:v>847</x:v>
      </x:c>
      <x:c r="C9" s="35" t="n">
        <x:v>0.42266824085005905</x:v>
      </x:c>
      <x:c r="D9" s="35" t="n">
        <x:v>0.1345926800472255</x:v>
      </x:c>
      <x:c r="E9" s="35" t="n">
        <x:v>0.13244246231193357</x:v>
      </x:c>
      <x:c r="F9" s="46" t="n">
        <x:v>0.9432718057995221</x:v>
      </x:c>
      <x:c r="G9" s="34" t="str">
        <x:v>NO</x:v>
      </x:c>
      <x:c r="H9" s="30" t="str">
        <x:v>age_band</x:v>
      </x:c>
    </x:row>
    <x:row r="10">
      <x:c r="A10" s="34" t="str">
        <x:v>46-55</x:v>
      </x:c>
      <x:c r="B10" s="40" t="n">
        <x:v>250</x:v>
      </x:c>
      <x:c r="C10" s="35" t="n">
        <x:v>0.4</x:v>
      </x:c>
      <x:c r="D10" s="35" t="n">
        <x:v>0.164</x:v>
      </x:c>
      <x:c r="E10" s="35" t="n">
        <x:v>0.1444252487736289</x:v>
      </x:c>
      <x:c r="F10" s="46" t="n">
        <x:v>0.8926829268292683</x:v>
      </x:c>
      <x:c r="G10" s="34" t="str">
        <x:v>NO</x:v>
      </x:c>
      <x:c r="H10" s="30" t="str">
        <x:v>age_band</x:v>
      </x:c>
    </x:row>
    <x:row r="11">
      <x:c r="A11" s="34" t="str">
        <x:v>56-65</x:v>
      </x:c>
      <x:c r="B11" s="40" t="n">
        <x:v>30</x:v>
      </x:c>
      <x:c r="C11" s="35" t="n">
        <x:v>0.26666666666666666</x:v>
      </x:c>
      <x:c r="D11" s="35" t="n">
        <x:v>0.13333333333333333</x:v>
      </x:c>
      <x:c r="E11" s="35" t="n">
        <x:v>0.14767037504746433</x:v>
      </x:c>
      <x:c r="F11" s="46" t="n">
        <x:v>0.5951219512195122</x:v>
      </x:c>
      <x:c r="G11" s="34" t="str">
        <x:v>YES</x:v>
      </x:c>
      <x:c r="H11" s="30" t="str">
        <x:v>age_band</x:v>
      </x:c>
    </x:row>
    <x:row r="12">
      <x:c r="A12" s="34" t="str">
        <x:v>Contract</x:v>
      </x:c>
      <x:c r="B12" s="40" t="n">
        <x:v>321</x:v>
      </x:c>
      <x:c r="C12" s="35" t="n">
        <x:v>0.3364485981308411</x:v>
      </x:c>
      <x:c r="D12" s="35" t="n">
        <x:v>0.1838006230529595</x:v>
      </x:c>
      <x:c r="E12" s="35" t="n">
        <x:v>0.1565159251848804</x:v>
      </x:c>
      <x:c r="F12" s="46" t="n">
        <x:v>0.7643786882005815</x:v>
      </x:c>
      <x:c r="G12" s="34" t="str">
        <x:v>NO</x:v>
      </x:c>
      <x:c r="H12" s="30" t="str">
        <x:v>employment_type</x:v>
      </x:c>
    </x:row>
    <x:row r="13">
      <x:c r="A13" s="34" t="str">
        <x:v>Salaried</x:v>
      </x:c>
      <x:c r="B13" s="40" t="n">
        <x:v>1504</x:v>
      </x:c>
      <x:c r="C13" s="35" t="n">
        <x:v>0.4401595744680851</x:v>
      </x:c>
      <x:c r="D13" s="35" t="n">
        <x:v>0.1163563829787234</x:v>
      </x:c>
      <x:c r="E13" s="35" t="n">
        <x:v>0.1261107291523038</x:v>
      </x:c>
      <x:c r="F13" s="46" t="n">
        <x:v>1</x:v>
      </x:c>
      <x:c r="G13" s="34" t="str">
        <x:v>NO</x:v>
      </x:c>
      <x:c r="H13" s="30" t="str">
        <x:v>employment_type</x:v>
      </x:c>
    </x:row>
    <x:row r="14">
      <x:c r="A14" s="34" t="str">
        <x:v>Self-employed</x:v>
      </x:c>
      <x:c r="B14" s="40" t="n">
        <x:v>575</x:v>
      </x:c>
      <x:c r="C14" s="35" t="n">
        <x:v>0.36869565217391304</x:v>
      </x:c>
      <x:c r="D14" s="35" t="n">
        <x:v>0.14608695652173914</x:v>
      </x:c>
      <x:c r="E14" s="35" t="n">
        <x:v>0.14042533769178397</x:v>
      </x:c>
      <x:c r="F14" s="46" t="n">
        <x:v>0.8376408774464731</x:v>
      </x:c>
      <x:c r="G14" s="34" t="str">
        <x:v>NO</x:v>
      </x:c>
      <x:c r="H14" s="30" t="str">
        <x:v>employment_type</x:v>
      </x:c>
    </x:row>
    <x:row r="15">
      <x:c r="A15" s="34" t="str">
        <x:v>Branch</x:v>
      </x:c>
      <x:c r="B15" s="40" t="n">
        <x:v>412</x:v>
      </x:c>
      <x:c r="C15" s="35" t="n">
        <x:v>0.46116504854368934</x:v>
      </x:c>
      <x:c r="D15" s="35" t="n">
        <x:v>0.11650485436893204</x:v>
      </x:c>
      <x:c r="E15" s="35" t="n">
        <x:v>0.12443864987058587</x:v>
      </x:c>
      <x:c r="F15" s="46" t="n">
        <x:v>1</x:v>
      </x:c>
      <x:c r="G15" s="34" t="str">
        <x:v>NO</x:v>
      </x:c>
      <x:c r="H15" s="30" t="str">
        <x:v>channel</x:v>
      </x:c>
    </x:row>
    <x:row r="16">
      <x:c r="A16" s="34" t="str">
        <x:v>Mobile</x:v>
      </x:c>
      <x:c r="B16" s="40" t="n">
        <x:v>1396</x:v>
      </x:c>
      <x:c r="C16" s="35" t="n">
        <x:v>0.43123209169054444</x:v>
      </x:c>
      <x:c r="D16" s="35" t="n">
        <x:v>0.12392550143266476</x:v>
      </x:c>
      <x:c r="E16" s="35" t="n">
        <x:v>0.13077903267265</x:v>
      </x:c>
      <x:c r="F16" s="46" t="n">
        <x:v>0.9350927461921279</x:v>
      </x:c>
      <x:c r="G16" s="34" t="str">
        <x:v>NO</x:v>
      </x:c>
      <x:c r="H16" s="30" t="str">
        <x:v>channel</x:v>
      </x:c>
    </x:row>
    <x:row r="17">
      <x:c r="A17" s="36" t="str">
        <x:v>Partner</x:v>
      </x:c>
      <x:c r="B17" s="41" t="n">
        <x:v>592</x:v>
      </x:c>
      <x:c r="C17" s="37" t="n">
        <x:v>0.32094594594594594</x:v>
      </x:c>
      <x:c r="D17" s="37" t="n">
        <x:v>0.16385135135135134</x:v>
      </x:c>
      <x:c r="E17" s="37" t="n">
        <x:v>0.14665618994001106</x:v>
      </x:c>
      <x:c r="F17" s="47" t="n">
        <x:v>0.6959459459459459</x:v>
      </x:c>
      <x:c r="G17" s="36" t="str">
        <x:v>NO</x:v>
      </x:c>
      <x:c r="H17" s="30" t="str">
        <x:v>channel</x:v>
      </x:c>
    </x:row>
    <x:row r="18">
      <x:c r="A18" s="30"/>
      <x:c r="B18" s="79"/>
      <x:c r="C18" s="80"/>
      <x:c r="D18" s="80"/>
      <x:c r="E18" s="80"/>
      <x:c r="F18" s="81"/>
      <x:c r="G18" s="30"/>
      <x:c r="H18" s="30"/>
    </x:row>
    <x:row r="19">
      <x:c r="A19" s="30"/>
      <x:c r="B19" s="79"/>
      <x:c r="C19" s="80"/>
      <x:c r="D19" s="80"/>
      <x:c r="E19" s="80"/>
      <x:c r="F19" s="81"/>
      <x:c r="G19" s="30"/>
      <x:c r="H19" s="30"/>
    </x:row>
    <x:row r="20">
      <x:c r="A20" s="30"/>
      <x:c r="B20" s="79"/>
      <x:c r="C20" s="80"/>
      <x:c r="D20" s="80"/>
      <x:c r="E20" s="80"/>
      <x:c r="F20" s="81"/>
      <x:c r="G20" s="30"/>
      <x:c r="H20" s="30"/>
    </x:row>
    <x:row r="21">
      <x:c r="A21" s="30"/>
      <x:c r="B21" s="79"/>
      <x:c r="C21" s="80"/>
      <x:c r="D21" s="80"/>
      <x:c r="E21" s="80"/>
      <x:c r="F21" s="81"/>
      <x:c r="G21" s="30"/>
      <x:c r="H21" s="30"/>
    </x:row>
    <x:row r="22">
      <x:c r="A22" s="30"/>
      <x:c r="B22" s="79"/>
      <x:c r="C22" s="80"/>
      <x:c r="D22" s="80"/>
      <x:c r="E22" s="80"/>
      <x:c r="F22" s="81"/>
      <x:c r="G22" s="30"/>
      <x:c r="H22" s="30"/>
    </x:row>
    <x:row r="23">
      <x:c r="A23" s="30"/>
      <x:c r="B23" s="79"/>
      <x:c r="C23" s="80"/>
      <x:c r="D23" s="80"/>
      <x:c r="E23" s="80"/>
      <x:c r="F23" s="81"/>
      <x:c r="G23" s="30"/>
      <x:c r="H23" s="30"/>
    </x:row>
    <x:row r="24">
      <x:c r="A24" s="30"/>
      <x:c r="B24" s="79"/>
      <x:c r="C24" s="80"/>
      <x:c r="D24" s="80"/>
      <x:c r="E24" s="80"/>
      <x:c r="F24" s="81"/>
      <x:c r="G24" s="30"/>
      <x:c r="H24" s="30"/>
    </x:row>
    <x:row r="25">
      <x:c r="A25" s="30"/>
      <x:c r="B25" s="79"/>
      <x:c r="C25" s="80"/>
      <x:c r="D25" s="80"/>
      <x:c r="E25" s="80"/>
      <x:c r="F25" s="81"/>
      <x:c r="G25" s="30"/>
      <x:c r="H25" s="30"/>
    </x:row>
    <x:row r="26">
      <x:c r="A26" s="30"/>
      <x:c r="B26" s="79"/>
      <x:c r="C26" s="80"/>
      <x:c r="D26" s="80"/>
      <x:c r="E26" s="80"/>
      <x:c r="F26" s="81"/>
      <x:c r="G26" s="30"/>
      <x:c r="H26" s="30"/>
    </x:row>
    <x:row r="27">
      <x:c r="A27" s="30"/>
      <x:c r="B27" s="79"/>
      <x:c r="C27" s="80"/>
      <x:c r="D27" s="80"/>
      <x:c r="E27" s="80"/>
      <x:c r="F27" s="81"/>
      <x:c r="G27" s="30"/>
      <x:c r="H27" s="30"/>
    </x:row>
    <x:row r="28">
      <x:c r="A28" s="30"/>
      <x:c r="B28" s="79"/>
      <x:c r="C28" s="80"/>
      <x:c r="D28" s="80"/>
      <x:c r="E28" s="80"/>
      <x:c r="F28" s="81"/>
      <x:c r="G28" s="30"/>
      <x:c r="H28" s="30"/>
    </x:row>
    <x:row r="29">
      <x:c r="A29" s="30"/>
      <x:c r="B29" s="79"/>
      <x:c r="C29" s="80"/>
      <x:c r="D29" s="80"/>
      <x:c r="E29" s="80"/>
      <x:c r="F29" s="81"/>
      <x:c r="G29" s="30"/>
      <x:c r="H29" s="30"/>
    </x:row>
    <x:row r="30">
      <x:c r="A30" s="30"/>
      <x:c r="B30" s="79"/>
      <x:c r="C30" s="80"/>
      <x:c r="D30" s="80"/>
      <x:c r="E30" s="80"/>
      <x:c r="F30" s="81"/>
      <x:c r="G30" s="30"/>
      <x:c r="H30" s="30"/>
    </x:row>
  </x:sheetData>
  <x:mergeCells>
    <x:mergeCell ref="A2:G2"/>
    <x:mergeCell ref="A3:G3"/>
  </x:mergeCells>
  <x:conditionalFormatting sqref="F7:F17">
    <x:cfRule type="cellIs" dxfId="5" priority="1" operator="lessThan">
      <x:formula>0.8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59999942779541" hidden="0" customWidth="1"/>
    <x:col min="2" max="2" width="7.440000057220459" hidden="0" customWidth="1"/>
    <x:col min="3" max="3" width="10" hidden="0" customWidth="1"/>
    <x:col min="4" max="4" width="13.5600004196167" hidden="0" customWidth="1"/>
    <x:col min="5" max="5" width="11.4399995803833" hidden="0" customWidth="1"/>
    <x:col min="6" max="6" width="10.779999732971191" hidden="0" customWidth="1"/>
    <x:col min="7" max="7" width="10" hidden="0" customWidth="1"/>
    <x:col min="8" max="8" width="11" hidden="0" customWidth="1"/>
    <x:col min="9" max="9" width="11.329999923706055" hidden="0" customWidth="1"/>
  </x:cols>
  <x:sheetData>
    <x:row r="2">
      <x:c r="A2" s="29" t="str">
        <x:v>V4 Approval Cut-off Economics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All outcomes recalculated from RCS_PD_4.0 scores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PD cut-off</x:v>
      </x:c>
      <x:c r="B6" s="9" t="str">
        <x:v>Approved</x:v>
      </x:c>
      <x:c r="C6" s="9" t="str">
        <x:v>Approval rate</x:v>
      </x:c>
      <x:c r="D6" s="9" t="str">
        <x:v>Observed bad rate</x:v>
      </x:c>
      <x:c r="E6" s="9" t="str">
        <x:v>Interest income</x:v>
      </x:c>
      <x:c r="F6" s="9" t="str">
        <x:v>Expected loss</x:v>
      </x:c>
      <x:c r="G6" s="9" t="str">
        <x:v>Funding cost</x:v>
      </x:c>
      <x:c r="H6" s="9" t="str">
        <x:v>Operating cost</x:v>
      </x:c>
      <x:c r="I6" s="9" t="str">
        <x:v>Expected profit</x:v>
      </x:c>
    </x:row>
    <x:row r="7">
      <x:c r="A7" s="48" t="n">
        <x:v>0.04</x:v>
      </x:c>
      <x:c r="B7" s="40" t="n">
        <x:v>116</x:v>
      </x:c>
      <x:c r="C7" s="49" t="n">
        <x:v>0.04833333333333333</x:v>
      </x:c>
      <x:c r="D7" s="49" t="n">
        <x:v>0.04310344827586207</x:v>
      </x:c>
      <x:c r="E7" s="40" t="n">
        <x:v>814234085.1000001</x:v>
      </x:c>
      <x:c r="F7" s="40" t="n">
        <x:v>94072921.06174149</x:v>
      </x:c>
      <x:c r="G7" s="40" t="n">
        <x:v>316646588.6500001</x:v>
      </x:c>
      <x:c r="H7" s="40" t="n">
        <x:v>40600000</x:v>
      </x:c>
      <x:c r="I7" s="40" t="n">
        <x:v>362914575.3882586</x:v>
      </x:c>
    </x:row>
    <x:row r="8">
      <x:c r="A8" s="48" t="n">
        <x:v>0.05</x:v>
      </x:c>
      <x:c r="B8" s="40" t="n">
        <x:v>250</x:v>
      </x:c>
      <x:c r="C8" s="49" t="n">
        <x:v>0.10416666666666667</x:v>
      </x:c>
      <x:c r="D8" s="49" t="n">
        <x:v>0.048</x:v>
      </x:c>
      <x:c r="E8" s="40" t="n">
        <x:v>1861755778.98</x:v>
      </x:c>
      <x:c r="F8" s="40" t="n">
        <x:v>266177061.4054603</x:v>
      </x:c>
      <x:c r="G8" s="40" t="n">
        <x:v>724016136.2700001</x:v>
      </x:c>
      <x:c r="H8" s="40" t="n">
        <x:v>87500000</x:v>
      </x:c>
      <x:c r="I8" s="40" t="n">
        <x:v>784062581.3045396</x:v>
      </x:c>
    </x:row>
    <x:row r="9">
      <x:c r="A9" s="48" t="n">
        <x:v>0.060000000000000005</x:v>
      </x:c>
      <x:c r="B9" s="40" t="n">
        <x:v>394</x:v>
      </x:c>
      <x:c r="C9" s="49" t="n">
        <x:v>0.16416666666666666</x:v>
      </x:c>
      <x:c r="D9" s="49" t="n">
        <x:v>0.048223350253807105</x:v>
      </x:c>
      <x:c r="E9" s="40" t="n">
        <x:v>3124091629.26</x:v>
      </x:c>
      <x:c r="F9" s="40" t="n">
        <x:v>517360213.7902136</x:v>
      </x:c>
      <x:c r="G9" s="40" t="n">
        <x:v>1214924522.4900002</x:v>
      </x:c>
      <x:c r="H9" s="40" t="n">
        <x:v>137900000</x:v>
      </x:c>
      <x:c r="I9" s="40" t="n">
        <x:v>1253906892.9797864</x:v>
      </x:c>
    </x:row>
    <x:row r="10">
      <x:c r="A10" s="48" t="n">
        <x:v>0.07</x:v>
      </x:c>
      <x:c r="B10" s="40" t="n">
        <x:v>533</x:v>
      </x:c>
      <x:c r="C10" s="49" t="n">
        <x:v>0.22208333333333333</x:v>
      </x:c>
      <x:c r="D10" s="49" t="n">
        <x:v>0.054409005628517824</x:v>
      </x:c>
      <x:c r="E10" s="40" t="n">
        <x:v>4587250653.9</x:v>
      </x:c>
      <x:c r="F10" s="40" t="n">
        <x:v>858915988.7389476</x:v>
      </x:c>
      <x:c r="G10" s="40" t="n">
        <x:v>1783930809.8500001</x:v>
      </x:c>
      <x:c r="H10" s="40" t="n">
        <x:v>186550000</x:v>
      </x:c>
      <x:c r="I10" s="40" t="n">
        <x:v>1757853855.3110516</x:v>
      </x:c>
    </x:row>
    <x:row r="11">
      <x:c r="A11" s="48" t="n">
        <x:v>0.08000000000000002</x:v>
      </x:c>
      <x:c r="B11" s="40" t="n">
        <x:v>699</x:v>
      </x:c>
      <x:c r="C11" s="49" t="n">
        <x:v>0.29125</x:v>
      </x:c>
      <x:c r="D11" s="49" t="n">
        <x:v>0.058655221745350504</x:v>
      </x:c>
      <x:c r="E11" s="40" t="n">
        <x:v>6132749775.48</x:v>
      </x:c>
      <x:c r="F11" s="40" t="n">
        <x:v>1276272231.7140718</x:v>
      </x:c>
      <x:c r="G11" s="40" t="n">
        <x:v>2384958246.0200005</x:v>
      </x:c>
      <x:c r="H11" s="40" t="n">
        <x:v>244650000</x:v>
      </x:c>
      <x:c r="I11" s="40" t="n">
        <x:v>2226869297.745928</x:v>
      </x:c>
    </x:row>
    <x:row r="12">
      <x:c r="A12" s="48" t="n">
        <x:v>0.09000000000000001</x:v>
      </x:c>
      <x:c r="B12" s="40" t="n">
        <x:v>850</x:v>
      </x:c>
      <x:c r="C12" s="49" t="n">
        <x:v>0.3541666666666667</x:v>
      </x:c>
      <x:c r="D12" s="49" t="n">
        <x:v>0.06588235294117648</x:v>
      </x:c>
      <x:c r="E12" s="40" t="n">
        <x:v>7730480300.219999</x:v>
      </x:c>
      <x:c r="F12" s="40" t="n">
        <x:v>1769940029.2151566</x:v>
      </x:c>
      <x:c r="G12" s="40" t="n">
        <x:v>3006297894.53</x:v>
      </x:c>
      <x:c r="H12" s="40" t="n">
        <x:v>297500000</x:v>
      </x:c>
      <x:c r="I12" s="40" t="n">
        <x:v>2656742376.4748425</x:v>
      </x:c>
    </x:row>
    <x:row r="13">
      <x:c r="A13" s="48" t="n">
        <x:v>0.1</x:v>
      </x:c>
      <x:c r="B13" s="40" t="n">
        <x:v>998</x:v>
      </x:c>
      <x:c r="C13" s="49" t="n">
        <x:v>0.41583333333333333</x:v>
      </x:c>
      <x:c r="D13" s="49" t="n">
        <x:v>0.06513026052104208</x:v>
      </x:c>
      <x:c r="E13" s="40" t="n">
        <x:v>9314269345.8</x:v>
      </x:c>
      <x:c r="F13" s="40" t="n">
        <x:v>2312489202.95467</x:v>
      </x:c>
      <x:c r="G13" s="40" t="n">
        <x:v>3622215856.7000003</x:v>
      </x:c>
      <x:c r="H13" s="40" t="n">
        <x:v>349300000</x:v>
      </x:c>
      <x:c r="I13" s="40" t="n">
        <x:v>3030264286.145329</x:v>
      </x:c>
    </x:row>
    <x:row r="14">
      <x:c r="A14" s="48" t="n">
        <x:v>0.11000000000000001</x:v>
      </x:c>
      <x:c r="B14" s="40" t="n">
        <x:v>1145</x:v>
      </x:c>
      <x:c r="C14" s="49" t="n">
        <x:v>0.47708333333333336</x:v>
      </x:c>
      <x:c r="D14" s="49" t="n">
        <x:v>0.06986899563318777</x:v>
      </x:c>
      <x:c r="E14" s="40" t="n">
        <x:v>11038925414.34</x:v>
      </x:c>
      <x:c r="F14" s="40" t="n">
        <x:v>2967735589.070632</x:v>
      </x:c>
      <x:c r="G14" s="40" t="n">
        <x:v>4292915438.910001</x:v>
      </x:c>
      <x:c r="H14" s="40" t="n">
        <x:v>400750000</x:v>
      </x:c>
      <x:c r="I14" s="40" t="n">
        <x:v>3377524386.3593674</x:v>
      </x:c>
    </x:row>
    <x:row r="15">
      <x:c r="A15" s="48" t="n">
        <x:v>0.12000000000000002</x:v>
      </x:c>
      <x:c r="B15" s="40" t="n">
        <x:v>1273</x:v>
      </x:c>
      <x:c r="C15" s="49" t="n">
        <x:v>0.5304166666666666</x:v>
      </x:c>
      <x:c r="D15" s="49" t="n">
        <x:v>0.07069913589945012</x:v>
      </x:c>
      <x:c r="E15" s="40" t="n">
        <x:v>12436487838</x:v>
      </x:c>
      <x:c r="F15" s="40" t="n">
        <x:v>3546294301.518176</x:v>
      </x:c>
      <x:c r="G15" s="40" t="n">
        <x:v>4836411937</x:v>
      </x:c>
      <x:c r="H15" s="40" t="n">
        <x:v>445550000</x:v>
      </x:c>
      <x:c r="I15" s="40" t="n">
        <x:v>3608231599.481823</x:v>
      </x:c>
    </x:row>
    <x:row r="16">
      <x:c r="A16" s="48" t="n">
        <x:v>0.13000000000000003</x:v>
      </x:c>
      <x:c r="B16" s="40" t="n">
        <x:v>1379</x:v>
      </x:c>
      <x:c r="C16" s="49" t="n">
        <x:v>0.5745833333333333</x:v>
      </x:c>
      <x:c r="D16" s="49" t="n">
        <x:v>0.0775924583031182</x:v>
      </x:c>
      <x:c r="E16" s="40" t="n">
        <x:v>13679729721.72</x:v>
      </x:c>
      <x:c r="F16" s="40" t="n">
        <x:v>4107872642.4594736</x:v>
      </x:c>
      <x:c r="G16" s="40" t="n">
        <x:v>5319894891.780001</x:v>
      </x:c>
      <x:c r="H16" s="40" t="n">
        <x:v>482650000</x:v>
      </x:c>
      <x:c r="I16" s="40" t="n">
        <x:v>3769312187.480524</x:v>
      </x:c>
    </x:row>
    <x:row r="17">
      <x:c r="A17" s="48" t="n">
        <x:v>0.14</x:v>
      </x:c>
      <x:c r="B17" s="40" t="n">
        <x:v>1498</x:v>
      </x:c>
      <x:c r="C17" s="49" t="n">
        <x:v>0.6241666666666666</x:v>
      </x:c>
      <x:c r="D17" s="49" t="n">
        <x:v>0.0794392523364486</x:v>
      </x:c>
      <x:c r="E17" s="40" t="n">
        <x:v>15075768843.899998</x:v>
      </x:c>
      <x:c r="F17" s="40" t="n">
        <x:v>4788769115.481779</x:v>
      </x:c>
      <x:c r="G17" s="40" t="n">
        <x:v>5862798994.85</x:v>
      </x:c>
      <x:c r="H17" s="40" t="n">
        <x:v>524300000</x:v>
      </x:c>
      <x:c r="I17" s="40" t="n">
        <x:v>3899900733.568218</x:v>
      </x:c>
    </x:row>
    <x:row r="18">
      <x:c r="A18" s="48" t="n">
        <x:v>0.15000000000000002</x:v>
      </x:c>
      <x:c r="B18" s="40" t="n">
        <x:v>1585</x:v>
      </x:c>
      <x:c r="C18" s="49" t="n">
        <x:v>0.6604166666666667</x:v>
      </x:c>
      <x:c r="D18" s="49" t="n">
        <x:v>0.0832807570977918</x:v>
      </x:c>
      <x:c r="E18" s="40" t="n">
        <x:v>16174551713.04</x:v>
      </x:c>
      <x:c r="F18" s="40" t="n">
        <x:v>5365957011.467222</x:v>
      </x:c>
      <x:c r="G18" s="40" t="n">
        <x:v>6290103443.960001</x:v>
      </x:c>
      <x:c r="H18" s="40" t="n">
        <x:v>554750000</x:v>
      </x:c>
      <x:c r="I18" s="40" t="n">
        <x:v>3963741257.6127777</x:v>
      </x:c>
    </x:row>
    <x:row r="19">
      <x:c r="A19" s="48" t="n">
        <x:v>0.16000000000000003</x:v>
      </x:c>
      <x:c r="B19" s="40" t="n">
        <x:v>1685</x:v>
      </x:c>
      <x:c r="C19" s="49" t="n">
        <x:v>0.7020833333333333</x:v>
      </x:c>
      <x:c r="D19" s="49" t="n">
        <x:v>0.08664688427299704</x:v>
      </x:c>
      <x:c r="E19" s="40" t="n">
        <x:v>17590617333.36</x:v>
      </x:c>
      <x:c r="F19" s="40" t="n">
        <x:v>6154375502.991859</x:v>
      </x:c>
      <x:c r="G19" s="40" t="n">
        <x:v>6840795629.640001</x:v>
      </x:c>
      <x:c r="H19" s="40" t="n">
        <x:v>589750000</x:v>
      </x:c>
      <x:c r="I19" s="40" t="n">
        <x:v>4005696200.72814</x:v>
      </x:c>
    </x:row>
    <x:row r="20">
      <x:c r="A20" s="48" t="n">
        <x:v>0.17000000000000004</x:v>
      </x:c>
      <x:c r="B20" s="40" t="n">
        <x:v>1772</x:v>
      </x:c>
      <x:c r="C20" s="49" t="n">
        <x:v>0.7383333333333333</x:v>
      </x:c>
      <x:c r="D20" s="49" t="n">
        <x:v>0.09255079006772009</x:v>
      </x:c>
      <x:c r="E20" s="40" t="n">
        <x:v>18638938843.019997</x:v>
      </x:c>
      <x:c r="F20" s="40" t="n">
        <x:v>6780467615.34078</x:v>
      </x:c>
      <x:c r="G20" s="40" t="n">
        <x:v>7248476216.73</x:v>
      </x:c>
      <x:c r="H20" s="40" t="n">
        <x:v>620200000</x:v>
      </x:c>
      <x:c r="I20" s="40" t="n">
        <x:v>3989795010.949217</x:v>
      </x:c>
    </x:row>
    <x:row r="21">
      <x:c r="A21" s="48" t="n">
        <x:v>0.18000000000000002</x:v>
      </x:c>
      <x:c r="B21" s="40" t="n">
        <x:v>1849</x:v>
      </x:c>
      <x:c r="C21" s="49" t="n">
        <x:v>0.7704166666666666</x:v>
      </x:c>
      <x:c r="D21" s="49" t="n">
        <x:v>0.09626825310978908</x:v>
      </x:c>
      <x:c r="E21" s="40" t="n">
        <x:v>19860120068.760002</x:v>
      </x:c>
      <x:c r="F21" s="40" t="n">
        <x:v>7550226087.729488</x:v>
      </x:c>
      <x:c r="G21" s="40" t="n">
        <x:v>7723380026.740001</x:v>
      </x:c>
      <x:c r="H21" s="40" t="n">
        <x:v>647150000</x:v>
      </x:c>
      <x:c r="I21" s="40" t="n">
        <x:v>3939363954.290513</x:v>
      </x:c>
    </x:row>
    <x:row r="22">
      <x:c r="A22" s="48" t="n">
        <x:v>0.19000000000000003</x:v>
      </x:c>
      <x:c r="B22" s="40" t="n">
        <x:v>1931</x:v>
      </x:c>
      <x:c r="C22" s="49" t="n">
        <x:v>0.8045833333333333</x:v>
      </x:c>
      <x:c r="D22" s="49" t="n">
        <x:v>0.10305541170378042</x:v>
      </x:c>
      <x:c r="E22" s="40" t="n">
        <x:v>21140587166.4</x:v>
      </x:c>
      <x:c r="F22" s="40" t="n">
        <x:v>8405370843.54699</x:v>
      </x:c>
      <x:c r="G22" s="40" t="n">
        <x:v>8221339453.6</x:v>
      </x:c>
      <x:c r="H22" s="40" t="n">
        <x:v>675850000</x:v>
      </x:c>
      <x:c r="I22" s="40" t="n">
        <x:v>3838026869.2530117</x:v>
      </x:c>
    </x:row>
    <x:row r="23">
      <x:c r="A23" s="48" t="n">
        <x:v>0.20000000000000004</x:v>
      </x:c>
      <x:c r="B23" s="40" t="n">
        <x:v>1994</x:v>
      </x:c>
      <x:c r="C23" s="49" t="n">
        <x:v>0.8308333333333333</x:v>
      </x:c>
      <x:c r="D23" s="49" t="n">
        <x:v>0.10381143430290872</x:v>
      </x:c>
      <x:c r="E23" s="40" t="n">
        <x:v>22168120523.399998</x:v>
      </x:c>
      <x:c r="F23" s="40" t="n">
        <x:v>9126041809.240845</x:v>
      </x:c>
      <x:c r="G23" s="40" t="n">
        <x:v>8620935759.100002</x:v>
      </x:c>
      <x:c r="H23" s="40" t="n">
        <x:v>697900000</x:v>
      </x:c>
      <x:c r="I23" s="40" t="n">
        <x:v>3723242955.0591507</x:v>
      </x:c>
    </x:row>
    <x:row r="24">
      <x:c r="A24" s="48" t="n">
        <x:v>0.21000000000000005</x:v>
      </x:c>
      <x:c r="B24" s="40" t="n">
        <x:v>2042</x:v>
      </x:c>
      <x:c r="C24" s="49" t="n">
        <x:v>0.8508333333333333</x:v>
      </x:c>
      <x:c r="D24" s="49" t="n">
        <x:v>0.11067580803134182</x:v>
      </x:c>
      <x:c r="E24" s="40" t="n">
        <x:v>22991669019</x:v>
      </x:c>
      <x:c r="F24" s="40" t="n">
        <x:v>9735103810.058279</x:v>
      </x:c>
      <x:c r="G24" s="40" t="n">
        <x:v>8941204618.500002</x:v>
      </x:c>
      <x:c r="H24" s="40" t="n">
        <x:v>714700000</x:v>
      </x:c>
      <x:c r="I24" s="40" t="n">
        <x:v>3600660590.441719</x:v>
      </x:c>
    </x:row>
    <x:row r="25">
      <x:c r="A25" s="48" t="n">
        <x:v>0.22000000000000006</x:v>
      </x:c>
      <x:c r="B25" s="40" t="n">
        <x:v>2083</x:v>
      </x:c>
      <x:c r="C25" s="49" t="n">
        <x:v>0.8679166666666667</x:v>
      </x:c>
      <x:c r="D25" s="49" t="n">
        <x:v>0.11185789726356217</x:v>
      </x:c>
      <x:c r="E25" s="40" t="n">
        <x:v>23669229834.899998</x:v>
      </x:c>
      <x:c r="F25" s="40" t="n">
        <x:v>10261875583.29373</x:v>
      </x:c>
      <x:c r="G25" s="40" t="n">
        <x:v>9204700491.35</x:v>
      </x:c>
      <x:c r="H25" s="40" t="n">
        <x:v>729050000</x:v>
      </x:c>
      <x:c r="I25" s="40" t="n">
        <x:v>3473603760.2562675</x:v>
      </x:c>
    </x:row>
    <x:row r="26">
      <x:c r="A26" s="48" t="n">
        <x:v>0.23000000000000004</x:v>
      </x:c>
      <x:c r="B26" s="40" t="n">
        <x:v>2119</x:v>
      </x:c>
      <x:c r="C26" s="49" t="n">
        <x:v>0.8829166666666667</x:v>
      </x:c>
      <x:c r="D26" s="49" t="n">
        <x:v>0.11278905143935819</x:v>
      </x:c>
      <x:c r="E26" s="40" t="n">
        <x:v>24314024674.079994</x:v>
      </x:c>
      <x:c r="F26" s="40" t="n">
        <x:v>10784874624.56378</x:v>
      </x:c>
      <x:c r="G26" s="40" t="n">
        <x:v>9455454039.920002</x:v>
      </x:c>
      <x:c r="H26" s="40" t="n">
        <x:v>741650000</x:v>
      </x:c>
      <x:c r="I26" s="40" t="n">
        <x:v>3332046009.5962124</x:v>
      </x:c>
    </x:row>
    <x:row r="27">
      <x:c r="A27" s="48" t="n">
        <x:v>0.24000000000000005</x:v>
      </x:c>
      <x:c r="B27" s="40" t="n">
        <x:v>2151</x:v>
      </x:c>
      <x:c r="C27" s="49" t="n">
        <x:v>0.89625</x:v>
      </x:c>
      <x:c r="D27" s="49" t="n">
        <x:v>0.11297071129707113</x:v>
      </x:c>
      <x:c r="E27" s="40" t="n">
        <x:v>24934682962.799995</x:v>
      </x:c>
      <x:c r="F27" s="40" t="n">
        <x:v>11312937802.151562</x:v>
      </x:c>
      <x:c r="G27" s="40" t="n">
        <x:v>9696821152.2</x:v>
      </x:c>
      <x:c r="H27" s="40" t="n">
        <x:v>752850000</x:v>
      </x:c>
      <x:c r="I27" s="40" t="n">
        <x:v>3172074008.448433</x:v>
      </x:c>
    </x:row>
    <x:row r="28">
      <x:c r="A28" s="50" t="n">
        <x:v>0.25000000000000006</x:v>
      </x:c>
      <x:c r="B28" s="41" t="n">
        <x:v>2181</x:v>
      </x:c>
      <x:c r="C28" s="51" t="n">
        <x:v>0.90875</x:v>
      </x:c>
      <x:c r="D28" s="51" t="n">
        <x:v>0.11416781292984869</x:v>
      </x:c>
      <x:c r="E28" s="41" t="n">
        <x:v>25356717644.94</x:v>
      </x:c>
      <x:c r="F28" s="41" t="n">
        <x:v>11684655498.684921</x:v>
      </x:c>
      <x:c r="G28" s="41" t="n">
        <x:v>9860945750.810001</x:v>
      </x:c>
      <x:c r="H28" s="41" t="n">
        <x:v>763350000</x:v>
      </x:c>
      <x:c r="I28" s="41" t="n">
        <x:v>3047766395.445076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329999923706055" hidden="0" customWidth="1"/>
    <x:col min="3" max="3" width="6.78000020980835" hidden="0" customWidth="1"/>
    <x:col min="4" max="4" width="13.670000076293945" hidden="0" customWidth="1"/>
    <x:col min="5" max="5" width="7.440000057220459" hidden="0" customWidth="1"/>
    <x:col min="6" max="6" width="10.779999732971191" hidden="0" customWidth="1"/>
    <x:col min="7" max="7" width="10.4399995803833" hidden="0" customWidth="1"/>
    <x:col min="8" max="8" width="11.329999923706055" hidden="0" customWidth="1"/>
    <x:col min="9" max="9" width="10.109999656677246" hidden="0" customWidth="1"/>
  </x:cols>
  <x:sheetData>
    <x:row r="2">
      <x:c r="A2" s="29" t="str">
        <x:v>Risk-based Pricing and Limit Assignment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PD band, price, limit, expected loss, profit and RAROC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9" t="str">
        <x:v>Risk band</x:v>
      </x:c>
      <x:c r="B6" s="9" t="str">
        <x:v>Applications</x:v>
      </x:c>
      <x:c r="C6" s="9" t="str">
        <x:v>Mean PD</x:v>
      </x:c>
      <x:c r="D6" s="9" t="str">
        <x:v>Auto-approval rate</x:v>
      </x:c>
      <x:c r="E6" s="9" t="str">
        <x:v>Mean rate</x:v>
      </x:c>
      <x:c r="F6" s="9" t="str">
        <x:v>Total limit</x:v>
      </x:c>
      <x:c r="G6" s="9" t="str">
        <x:v>Expected loss</x:v>
      </x:c>
      <x:c r="H6" s="9" t="str">
        <x:v>Expected profit</x:v>
      </x:c>
      <x:c r="I6" s="9" t="str">
        <x:v>Mean RAROC</x:v>
      </x:c>
    </x:row>
    <x:row r="7">
      <x:c r="A7" s="34" t="str">
        <x:v>A</x:v>
      </x:c>
      <x:c r="B7" s="40" t="n">
        <x:v>250</x:v>
      </x:c>
      <x:c r="C7" s="35" t="n">
        <x:v>0.03891539512009936</x:v>
      </x:c>
      <x:c r="D7" s="35" t="n">
        <x:v>1</x:v>
      </x:c>
      <x:c r="E7" s="35" t="n">
        <x:v>0.16</x:v>
      </x:c>
      <x:c r="F7" s="40" t="n">
        <x:v>10312909470</x:v>
      </x:c>
      <x:c r="G7" s="40" t="n">
        <x:v>265424589</x:v>
      </x:c>
      <x:c r="H7" s="40" t="n">
        <x:v>575237272</x:v>
      </x:c>
      <x:c r="I7" s="35" t="n">
        <x:v>0.5999419366464616</x:v>
      </x:c>
    </x:row>
    <x:row r="8">
      <x:c r="A8" s="34" t="str">
        <x:v>B</x:v>
      </x:c>
      <x:c r="B8" s="40" t="n">
        <x:v>748</x:v>
      </x:c>
      <x:c r="C8" s="35" t="n">
        <x:v>0.0753372312344831</x:v>
      </x:c>
      <x:c r="D8" s="35" t="n">
        <x:v>1</x:v>
      </x:c>
      <x:c r="E8" s="35" t="n">
        <x:v>0.18</x:v>
      </x:c>
      <x:c r="F8" s="40" t="n">
        <x:v>38235427561</x:v>
      </x:c>
      <x:c r="G8" s="40" t="n">
        <x:v>1884079132</x:v>
      </x:c>
      <x:c r="H8" s="40" t="n">
        <x:v>2060017890</x:v>
      </x:c>
      <x:c r="I8" s="35" t="n">
        <x:v>0.3917155231403618</x:v>
      </x:c>
    </x:row>
    <x:row r="9">
      <x:c r="A9" s="34" t="str">
        <x:v>C</x:v>
      </x:c>
      <x:c r="B9" s="40" t="n">
        <x:v>851</x:v>
      </x:c>
      <x:c r="C9" s="35" t="n">
        <x:v>0.13558594772682916</x:v>
      </x:c>
      <x:c r="D9" s="35" t="n">
        <x:v>0</x:v>
      </x:c>
      <x:c r="E9" s="35" t="n">
        <x:v>0.22</x:v>
      </x:c>
      <x:c r="F9" s="40" t="n">
        <x:v>41051005244</x:v>
      </x:c>
      <x:c r="G9" s="40" t="n">
        <x:v>3617725045</x:v>
      </x:c>
      <x:c r="H9" s="40" t="n">
        <x:v>2242075737</x:v>
      </x:c>
      <x:c r="I9" s="35" t="n">
        <x:v>0.25814442557483913</x:v>
      </x:c>
    </x:row>
    <x:row r="10">
      <x:c r="A10" s="36" t="str">
        <x:v>D</x:v>
      </x:c>
      <x:c r="B10" s="41" t="n">
        <x:v>551</x:v>
      </x:c>
      <x:c r="C10" s="37" t="n">
        <x:v>0.25261702094961436</x:v>
      </x:c>
      <x:c r="D10" s="37" t="n">
        <x:v>0</x:v>
      </x:c>
      <x:c r="E10" s="37"/>
      <x:c r="F10" s="41" t="n">
        <x:v>0</x:v>
      </x:c>
      <x:c r="G10" s="41" t="n">
        <x:v>0</x:v>
      </x:c>
      <x:c r="H10" s="41" t="n">
        <x:v>0</x:v>
      </x:c>
      <x:c r="I10" s="37" t="n">
        <x:v>0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7.21999979019165" hidden="0" customWidth="1"/>
    <x:col min="3" max="3" width="10" hidden="0" customWidth="1"/>
    <x:col min="4" max="4" width="8.220000267028809" hidden="0" customWidth="1"/>
    <x:col min="5" max="5" width="10.779999732971191" hidden="0" customWidth="1"/>
    <x:col min="6" max="6" width="13.329999923706055" hidden="0" customWidth="1"/>
    <x:col min="7" max="7" width="6.78000020980835" hidden="0" customWidth="1"/>
  </x:cols>
  <x:sheetData>
    <x:row r="2">
      <x:c r="A2" s="29" t="str">
        <x:v>Vintage Delinquency Monitoring</x:v>
      </x:c>
      <x:c r="B2" s="30"/>
      <x:c r="C2" s="30"/>
      <x:c r="D2" s="30"/>
      <x:c r="E2" s="30"/>
      <x:c r="F2" s="30"/>
      <x:c r="G2" s="30"/>
    </x:row>
    <x:row r="3">
      <x:c r="A3" s="31" t="str">
        <x:v>Origination-month FPD30, MOB3 30+ and 12-month bad rate</x:v>
      </x:c>
      <x:c r="B3" s="30"/>
      <x:c r="C3" s="30"/>
      <x:c r="D3" s="30"/>
      <x:c r="E3" s="30"/>
      <x:c r="F3" s="30"/>
      <x:c r="G3" s="30"/>
    </x:row>
    <x:row r="4" ht="3" customHeight="1">
      <x:c r="A4" s="32"/>
      <x:c r="B4" s="32"/>
      <x:c r="C4" s="32"/>
      <x:c r="D4" s="32"/>
      <x:c r="E4" s="32"/>
      <x:c r="F4" s="32"/>
      <x:c r="G4" s="32"/>
    </x:row>
    <x:row r="5">
      <x:c r="A5" s="30"/>
      <x:c r="B5" s="30"/>
      <x:c r="C5" s="30"/>
      <x:c r="D5" s="30"/>
      <x:c r="E5" s="30"/>
      <x:c r="F5" s="30"/>
      <x:c r="G5" s="30"/>
    </x:row>
    <x:row r="6">
      <x:c r="A6" s="9" t="str">
        <x:v>Vintage</x:v>
      </x:c>
      <x:c r="B6" s="9" t="str">
        <x:v>Bookings</x:v>
      </x:c>
      <x:c r="C6" s="9" t="str">
        <x:v>Approval rate</x:v>
      </x:c>
      <x:c r="D6" s="9" t="str">
        <x:v>FPD30 rate</x:v>
      </x:c>
      <x:c r="E6" s="9" t="str">
        <x:v>MOB3 30+ rate</x:v>
      </x:c>
      <x:c r="F6" s="9" t="str">
        <x:v>12-month bad rate</x:v>
      </x:c>
      <x:c r="G6" s="9" t="str">
        <x:v>Mean PD</x:v>
      </x:c>
    </x:row>
    <x:row r="7">
      <x:c r="A7" s="34" t="str">
        <x:v>2025-02</x:v>
      </x:c>
      <x:c r="B7" s="40" t="n">
        <x:v>600</x:v>
      </x:c>
      <x:c r="C7" s="35" t="n">
        <x:v>0.28833333333333333</x:v>
      </x:c>
      <x:c r="D7" s="35" t="n">
        <x:v>0.06333333333333334</x:v>
      </x:c>
      <x:c r="E7" s="35" t="n">
        <x:v>0.10166666666666667</x:v>
      </x:c>
      <x:c r="F7" s="35" t="n">
        <x:v>0.12</x:v>
      </x:c>
      <x:c r="G7" s="35" t="n">
        <x:v>0.13636226521111258</x:v>
      </x:c>
    </x:row>
    <x:row r="8">
      <x:c r="A8" s="34" t="str">
        <x:v>2025-03</x:v>
      </x:c>
      <x:c r="B8" s="40" t="n">
        <x:v>744</x:v>
      </x:c>
      <x:c r="C8" s="35" t="n">
        <x:v>0.2768817204301075</x:v>
      </x:c>
      <x:c r="D8" s="35" t="n">
        <x:v>0.07661290322580645</x:v>
      </x:c>
      <x:c r="E8" s="35" t="n">
        <x:v>0.1196236559139785</x:v>
      </x:c>
      <x:c r="F8" s="35" t="n">
        <x:v>0.13844086021505375</x:v>
      </x:c>
      <x:c r="G8" s="35" t="n">
        <x:v>0.13315170134867732</x:v>
      </x:c>
    </x:row>
    <x:row r="9">
      <x:c r="A9" s="34" t="str">
        <x:v>2025-04</x:v>
      </x:c>
      <x:c r="B9" s="40" t="n">
        <x:v>720</x:v>
      </x:c>
      <x:c r="C9" s="35" t="n">
        <x:v>0.30277777777777776</x:v>
      </x:c>
      <x:c r="D9" s="35" t="n">
        <x:v>0.06527777777777778</x:v>
      </x:c>
      <x:c r="E9" s="35" t="n">
        <x:v>0.10972222222222222</x:v>
      </x:c>
      <x:c r="F9" s="35" t="n">
        <x:v>0.12916666666666668</x:v>
      </x:c>
      <x:c r="G9" s="35" t="n">
        <x:v>0.13230087775674315</x:v>
      </x:c>
    </x:row>
    <x:row r="10">
      <x:c r="A10" s="36" t="str">
        <x:v>2025-05</x:v>
      </x:c>
      <x:c r="B10" s="41" t="n">
        <x:v>336</x:v>
      </x:c>
      <x:c r="C10" s="37" t="n">
        <x:v>0.30357142857142855</x:v>
      </x:c>
      <x:c r="D10" s="37" t="n">
        <x:v>0.07142857142857142</x:v>
      </x:c>
      <x:c r="E10" s="37" t="n">
        <x:v>0.12202380952380952</x:v>
      </x:c>
      <x:c r="F10" s="37" t="n">
        <x:v>0.1488095238095238</x:v>
      </x:c>
      <x:c r="G10" s="37" t="n">
        <x:v>0.1324936335930023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9.329999923706055" hidden="0" customWidth="1"/>
    <x:col min="3" max="3" width="13.5600004196167" hidden="0" customWidth="1"/>
    <x:col min="4" max="4" width="6.78000020980835" hidden="0" customWidth="1"/>
    <x:col min="5" max="5" width="10" hidden="0" customWidth="1"/>
    <x:col min="6" max="6" width="8.670000076293945" hidden="0" customWidth="1"/>
  </x:cols>
  <x:sheetData>
    <x:row r="2">
      <x:c r="A2" s="29" t="str">
        <x:v>Production Monitoring</x:v>
      </x:c>
      <x:c r="B2" s="30"/>
      <x:c r="C2" s="30"/>
      <x:c r="D2" s="30"/>
      <x:c r="E2" s="30"/>
      <x:c r="F2" s="30"/>
    </x:row>
    <x:row r="3">
      <x:c r="A3" s="31" t="str">
        <x:v>Monthly outcome, calibration and approval monitoring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Month</x:v>
      </x:c>
      <x:c r="B6" s="9" t="str">
        <x:v>Applications</x:v>
      </x:c>
      <x:c r="C6" s="9" t="str">
        <x:v>Observed bad rate</x:v>
      </x:c>
      <x:c r="D6" s="9" t="str">
        <x:v>Mean PD</x:v>
      </x:c>
      <x:c r="E6" s="9" t="str">
        <x:v>Approval rate</x:v>
      </x:c>
      <x:c r="F6" s="9" t="str">
        <x:v>Mean score</x:v>
      </x:c>
    </x:row>
    <x:row r="7">
      <x:c r="A7" s="34" t="str">
        <x:v>2025-02</x:v>
      </x:c>
      <x:c r="B7" s="40" t="n">
        <x:v>600</x:v>
      </x:c>
      <x:c r="C7" s="35" t="n">
        <x:v>0.12</x:v>
      </x:c>
      <x:c r="D7" s="35" t="n">
        <x:v>0.13636226521111258</x:v>
      </x:c>
      <x:c r="E7" s="35" t="n">
        <x:v>0.405</x:v>
      </x:c>
      <x:c r="F7" s="42" t="n">
        <x:v>529.3783333333333</x:v>
      </x:c>
    </x:row>
    <x:row r="8">
      <x:c r="A8" s="34" t="str">
        <x:v>2025-03</x:v>
      </x:c>
      <x:c r="B8" s="40" t="n">
        <x:v>744</x:v>
      </x:c>
      <x:c r="C8" s="35" t="n">
        <x:v>0.13844086021505375</x:v>
      </x:c>
      <x:c r="D8" s="35" t="n">
        <x:v>0.13315170134867732</x:v>
      </x:c>
      <x:c r="E8" s="35" t="n">
        <x:v>0.3911290322580645</x:v>
      </x:c>
      <x:c r="F8" s="42" t="n">
        <x:v>530.6599462365591</x:v>
      </x:c>
    </x:row>
    <x:row r="9">
      <x:c r="A9" s="34" t="str">
        <x:v>2025-04</x:v>
      </x:c>
      <x:c r="B9" s="40" t="n">
        <x:v>720</x:v>
      </x:c>
      <x:c r="C9" s="35" t="n">
        <x:v>0.12916666666666668</x:v>
      </x:c>
      <x:c r="D9" s="35" t="n">
        <x:v>0.13230087775674315</x:v>
      </x:c>
      <x:c r="E9" s="35" t="n">
        <x:v>0.4263888888888889</x:v>
      </x:c>
      <x:c r="F9" s="42" t="n">
        <x:v>532.4875</x:v>
      </x:c>
    </x:row>
    <x:row r="10">
      <x:c r="A10" s="34" t="str">
        <x:v>2025-05</x:v>
      </x:c>
      <x:c r="B10" s="40" t="n">
        <x:v>336</x:v>
      </x:c>
      <x:c r="C10" s="35" t="n">
        <x:v>0.1488095238095238</x:v>
      </x:c>
      <x:c r="D10" s="35" t="n">
        <x:v>0.1324936335930023</x:v>
      </x:c>
      <x:c r="E10" s="35" t="n">
        <x:v>0.41964285714285715</x:v>
      </x:c>
      <x:c r="F10" s="42" t="n">
        <x:v>532.5357142857143</x:v>
      </x:c>
    </x:row>
    <x:row r="11">
      <x:c r="A11" s="36"/>
      <x:c r="B11" s="41"/>
      <x:c r="C11" s="37"/>
      <x:c r="D11" s="37"/>
      <x:c r="E11" s="37"/>
      <x:c r="F11" s="43"/>
    </x:row>
    <x:row r="12">
      <x:c r="A12" s="30"/>
      <x:c r="B12" s="79"/>
      <x:c r="C12" s="80"/>
      <x:c r="D12" s="80"/>
      <x:c r="E12" s="80"/>
      <x:c r="F12" s="82"/>
    </x:row>
    <x:row r="13">
      <x:c r="A13" s="30"/>
      <x:c r="B13" s="79"/>
      <x:c r="C13" s="80"/>
      <x:c r="D13" s="80"/>
      <x:c r="E13" s="80"/>
      <x:c r="F13" s="82"/>
    </x:row>
    <x:row r="14">
      <x:c r="A14" s="30"/>
      <x:c r="B14" s="79"/>
      <x:c r="C14" s="80"/>
      <x:c r="D14" s="80"/>
      <x:c r="E14" s="80"/>
      <x:c r="F14" s="82"/>
    </x:row>
    <x:row r="15">
      <x:c r="A15" s="30"/>
      <x:c r="B15" s="79"/>
      <x:c r="C15" s="80"/>
      <x:c r="D15" s="80"/>
      <x:c r="E15" s="80"/>
      <x:c r="F15" s="82"/>
    </x:row>
    <x:row r="16">
      <x:c r="A16" s="30"/>
      <x:c r="B16" s="79"/>
      <x:c r="C16" s="80"/>
      <x:c r="D16" s="80"/>
      <x:c r="E16" s="80"/>
      <x:c r="F16" s="82"/>
    </x:row>
    <x:row r="17">
      <x:c r="A17" s="30"/>
      <x:c r="B17" s="79"/>
      <x:c r="C17" s="80"/>
      <x:c r="D17" s="80"/>
      <x:c r="E17" s="80"/>
      <x:c r="F17" s="82"/>
    </x:row>
    <x:row r="18">
      <x:c r="A18" s="30"/>
      <x:c r="B18" s="79"/>
      <x:c r="C18" s="80"/>
      <x:c r="D18" s="80"/>
      <x:c r="E18" s="80"/>
      <x:c r="F18" s="82"/>
    </x:row>
    <x:row r="19">
      <x:c r="A19" s="30"/>
      <x:c r="B19" s="79"/>
      <x:c r="C19" s="80"/>
      <x:c r="D19" s="80"/>
      <x:c r="E19" s="80"/>
      <x:c r="F19" s="82"/>
    </x:row>
    <x:row r="20">
      <x:c r="A20" s="30"/>
      <x:c r="B20" s="79"/>
      <x:c r="C20" s="80"/>
      <x:c r="D20" s="80"/>
      <x:c r="E20" s="80"/>
      <x:c r="F20" s="82"/>
    </x:row>
    <x:row r="21">
      <x:c r="A21" s="30"/>
      <x:c r="B21" s="79"/>
      <x:c r="C21" s="80"/>
      <x:c r="D21" s="80"/>
      <x:c r="E21" s="80"/>
      <x:c r="F21" s="82"/>
    </x:row>
    <x:row r="22">
      <x:c r="A22" s="30"/>
      <x:c r="B22" s="79"/>
      <x:c r="C22" s="80"/>
      <x:c r="D22" s="80"/>
      <x:c r="E22" s="80"/>
      <x:c r="F22" s="82"/>
    </x:row>
    <x:row r="23">
      <x:c r="A23" s="30"/>
      <x:c r="B23" s="79"/>
      <x:c r="C23" s="80"/>
      <x:c r="D23" s="80"/>
      <x:c r="E23" s="80"/>
      <x:c r="F23" s="82"/>
    </x:row>
    <x:row r="24">
      <x:c r="A24" s="30"/>
      <x:c r="B24" s="79"/>
      <x:c r="C24" s="80"/>
      <x:c r="D24" s="80"/>
      <x:c r="E24" s="80"/>
      <x:c r="F24" s="82"/>
    </x:row>
    <x:row r="25">
      <x:c r="A25" s="30"/>
      <x:c r="B25" s="79"/>
      <x:c r="C25" s="80"/>
      <x:c r="D25" s="80"/>
      <x:c r="E25" s="80"/>
      <x:c r="F25" s="82"/>
    </x:row>
    <x:row r="26">
      <x:c r="A26" s="30"/>
      <x:c r="B26" s="79"/>
      <x:c r="C26" s="80"/>
      <x:c r="D26" s="80"/>
      <x:c r="E26" s="80"/>
      <x:c r="F26" s="82"/>
    </x:row>
    <x:row r="27">
      <x:c r="A27" s="30"/>
      <x:c r="B27" s="79"/>
      <x:c r="C27" s="80"/>
      <x:c r="D27" s="80"/>
      <x:c r="E27" s="80"/>
      <x:c r="F27" s="82"/>
    </x:row>
    <x:row r="28">
      <x:c r="A28" s="30"/>
      <x:c r="B28" s="79"/>
      <x:c r="C28" s="80"/>
      <x:c r="D28" s="80"/>
      <x:c r="E28" s="80"/>
      <x:c r="F28" s="82"/>
    </x:row>
    <x:row r="29">
      <x:c r="A29" s="30"/>
      <x:c r="B29" s="79"/>
      <x:c r="C29" s="80"/>
      <x:c r="D29" s="80"/>
      <x:c r="E29" s="80"/>
      <x:c r="F29" s="82"/>
    </x:row>
    <x:row r="30">
      <x:c r="A30" s="30"/>
      <x:c r="B30" s="79"/>
      <x:c r="C30" s="80"/>
      <x:c r="D30" s="80"/>
      <x:c r="E30" s="80"/>
      <x:c r="F30" s="82"/>
    </x:row>
  </x:sheetData>
  <x:mergeCells>
    <x:mergeCell ref="A2:F2"/>
    <x:mergeCell ref="A3:F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7.21999979019165" hidden="0" customWidth="1"/>
    <x:col min="3" max="3" width="15.779999732971191" hidden="0" customWidth="1"/>
    <x:col min="4" max="4" width="15.4399995803833" hidden="0" customWidth="1"/>
    <x:col min="5" max="5" width="7.78000020980835" hidden="0" customWidth="1"/>
    <x:col min="6" max="6" width="11.670000076293945" hidden="0" customWidth="1"/>
  </x:cols>
  <x:sheetData>
    <x:row r="2">
      <x:c r="A2" s="29" t="str">
        <x:v>Behavioural Early Warning</x:v>
      </x:c>
      <x:c r="B2" s="30"/>
      <x:c r="C2" s="30"/>
      <x:c r="D2" s="30"/>
      <x:c r="E2" s="30"/>
      <x:c r="F2" s="30"/>
    </x:row>
    <x:row r="3">
      <x:c r="A3" s="31" t="str">
        <x:v>Account risk status and recommended intervention</x:v>
      </x:c>
      <x:c r="B3" s="30"/>
      <x:c r="C3" s="30"/>
      <x:c r="D3" s="30"/>
      <x:c r="E3" s="30"/>
      <x:c r="F3" s="30"/>
    </x:row>
    <x:row r="4" ht="3" customHeight="1">
      <x:c r="A4" s="32"/>
      <x:c r="B4" s="32"/>
      <x:c r="C4" s="32"/>
      <x:c r="D4" s="32"/>
      <x:c r="E4" s="32"/>
      <x:c r="F4" s="32"/>
    </x:row>
    <x:row r="5">
      <x:c r="A5" s="30"/>
      <x:c r="B5" s="30"/>
      <x:c r="C5" s="30"/>
      <x:c r="D5" s="30"/>
      <x:c r="E5" s="30"/>
      <x:c r="F5" s="30"/>
    </x:row>
    <x:row r="6">
      <x:c r="A6" s="9" t="str">
        <x:v>EWS status</x:v>
      </x:c>
      <x:c r="B6" s="9" t="str">
        <x:v>Accounts</x:v>
      </x:c>
      <x:c r="C6" s="9" t="str">
        <x:v>Observed default rate</x:v>
      </x:c>
      <x:c r="D6" s="9" t="str">
        <x:v>Mean behavioural PD</x:v>
      </x:c>
      <x:c r="E6" s="9" t="str">
        <x:v>Mean DPD</x:v>
      </x:c>
      <x:c r="F6" s="9" t="str">
        <x:v>Mean utilisation</x:v>
      </x:c>
    </x:row>
    <x:row r="7">
      <x:c r="A7" s="34" t="str">
        <x:v>AMBER</x:v>
      </x:c>
      <x:c r="B7" s="40" t="n">
        <x:v>195</x:v>
      </x:c>
      <x:c r="C7" s="35" t="n">
        <x:v>0.10256410256410256</x:v>
      </x:c>
      <x:c r="D7" s="35" t="n">
        <x:v>0.10827335537299274</x:v>
      </x:c>
      <x:c r="E7" s="44" t="n">
        <x:v>30</x:v>
      </x:c>
      <x:c r="F7" s="35" t="n">
        <x:v>0.43705860687428877</x:v>
      </x:c>
    </x:row>
    <x:row r="8">
      <x:c r="A8" s="34" t="str">
        <x:v>GREEN</x:v>
      </x:c>
      <x:c r="B8" s="40" t="n">
        <x:v>2027</x:v>
      </x:c>
      <x:c r="C8" s="35" t="n">
        <x:v>0.01480019733596448</x:v>
      </x:c>
      <x:c r="D8" s="35" t="n">
        <x:v>0.016155981037262703</x:v>
      </x:c>
      <x:c r="E8" s="44" t="n">
        <x:v>2.493339911198816</x:v>
      </x:c>
      <x:c r="F8" s="35" t="n">
        <x:v>0.46459637719579744</x:v>
      </x:c>
    </x:row>
    <x:row r="9">
      <x:c r="A9" s="36" t="str">
        <x:v>RED</x:v>
      </x:c>
      <x:c r="B9" s="41" t="n">
        <x:v>278</x:v>
      </x:c>
      <x:c r="C9" s="37" t="n">
        <x:v>0.3669064748201439</x:v>
      </x:c>
      <x:c r="D9" s="37" t="n">
        <x:v>0.3366011329832885</x:v>
      </x:c>
      <x:c r="E9" s="45" t="n">
        <x:v>72.19424460431655</x:v>
      </x:c>
      <x:c r="F9" s="37" t="n">
        <x:v>0.4515879478385868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0.329999923706055" hidden="0" customWidth="1"/>
    <x:col min="3" max="3" width="4.889999866485596" hidden="0" customWidth="1"/>
    <x:col min="4" max="4" width="6.78000020980835" hidden="0" customWidth="1"/>
  </x:cols>
  <x:sheetData>
    <x:row r="2">
      <x:c r="A2" s="29" t="str">
        <x:v>Manual Override Monitoring</x:v>
      </x:c>
      <x:c r="B2" s="30"/>
      <x:c r="C2" s="30"/>
      <x:c r="D2" s="30"/>
    </x:row>
    <x:row r="3">
      <x:c r="A3" s="31" t="str">
        <x:v>Direction, final decision, volume and average model PD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Override direction</x:v>
      </x:c>
      <x:c r="B6" s="9" t="str">
        <x:v>Final decision</x:v>
      </x:c>
      <x:c r="C6" s="9" t="str">
        <x:v>Cases</x:v>
      </x:c>
      <x:c r="D6" s="9" t="str">
        <x:v>Mean PD</x:v>
      </x:c>
    </x:row>
    <x:row r="7">
      <x:c r="A7" s="34" t="str">
        <x:v>DECLINE_TO_APPROVE</x:v>
      </x:c>
      <x:c r="B7" s="34" t="str">
        <x:v>APPROVE</x:v>
      </x:c>
      <x:c r="C7" s="40" t="n">
        <x:v>16</x:v>
      </x:c>
      <x:c r="D7" s="35" t="n">
        <x:v>0.27003337968480845</x:v>
      </x:c>
    </x:row>
    <x:row r="8">
      <x:c r="A8" s="34" t="str">
        <x:v>NO_OVERRIDE</x:v>
      </x:c>
      <x:c r="B8" s="34" t="str">
        <x:v>DECLINE</x:v>
      </x:c>
      <x:c r="C8" s="40" t="n">
        <x:v>78</x:v>
      </x:c>
      <x:c r="D8" s="35" t="n">
        <x:v>0.261483707648402</x:v>
      </x:c>
    </x:row>
    <x:row r="9">
      <x:c r="A9" s="34" t="str">
        <x:v>NO_OVERRIDE</x:v>
      </x:c>
      <x:c r="B9" s="34" t="str">
        <x:v>REVIEW</x:v>
      </x:c>
      <x:c r="C9" s="40" t="n">
        <x:v>169</x:v>
      </x:c>
      <x:c r="D9" s="35" t="n">
        <x:v>0.1237517178835202</x:v>
      </x:c>
    </x:row>
    <x:row r="10">
      <x:c r="A10" s="36" t="str">
        <x:v>REVIEW_TO_DECLINE</x:v>
      </x:c>
      <x:c r="B10" s="36" t="str">
        <x:v>DECLINE</x:v>
      </x:c>
      <x:c r="C10" s="41" t="n">
        <x:v>37</x:v>
      </x:c>
      <x:c r="D10" s="37" t="n">
        <x:v>0.12687034159715607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9.889999389648438" hidden="0" customWidth="1"/>
    <x:col min="3" max="3" width="7.559999942779541" hidden="0" customWidth="1"/>
    <x:col min="4" max="4" width="8.109999656677246" hidden="0" customWidth="1"/>
    <x:col min="5" max="5" width="12.220000267028809" hidden="0" customWidth="1"/>
  </x:cols>
  <x:sheetData>
    <x:row r="2">
      <x:c r="A2" s="29" t="str">
        <x:v>Model Registry and Rollback</x:v>
      </x:c>
      <x:c r="B2" s="30"/>
      <x:c r="C2" s="30"/>
      <x:c r="D2" s="30"/>
      <x:c r="E2" s="30"/>
    </x:row>
    <x:row r="3">
      <x:c r="A3" s="31" t="str">
        <x:v>Version stage, validation and rollback eligibility</x:v>
      </x:c>
      <x:c r="B3" s="30"/>
      <x:c r="C3" s="30"/>
      <x:c r="D3" s="30"/>
      <x:c r="E3" s="30"/>
    </x:row>
    <x:row r="4" ht="3" customHeight="1">
      <x:c r="A4" s="32"/>
      <x:c r="B4" s="32"/>
      <x:c r="C4" s="32"/>
      <x:c r="D4" s="32"/>
      <x:c r="E4" s="32"/>
    </x:row>
    <x:row r="5">
      <x:c r="A5" s="30"/>
      <x:c r="B5" s="30"/>
      <x:c r="C5" s="30"/>
      <x:c r="D5" s="30"/>
      <x:c r="E5" s="30"/>
    </x:row>
    <x:row r="6">
      <x:c r="A6" s="9" t="str">
        <x:v>Version</x:v>
      </x:c>
      <x:c r="B6" s="9" t="str">
        <x:v>Stage</x:v>
      </x:c>
      <x:c r="C6" s="9" t="str">
        <x:v>Validation</x:v>
      </x:c>
      <x:c r="D6" s="9" t="str">
        <x:v>Created</x:v>
      </x:c>
      <x:c r="E6" s="9" t="str">
        <x:v>Rollback eligible</x:v>
      </x:c>
    </x:row>
    <x:row r="7">
      <x:c r="A7" s="34" t="str">
        <x:v>RCS_PD_2.0</x:v>
      </x:c>
      <x:c r="B7" s="34" t="str">
        <x:v>RETIRED</x:v>
      </x:c>
      <x:c r="C7" s="34" t="str">
        <x:v>PASS</x:v>
      </x:c>
      <x:c r="D7" s="34" t="str">
        <x:v>2026-09-23</x:v>
      </x:c>
      <x:c r="E7" s="34" t="str">
        <x:v>YES</x:v>
      </x:c>
    </x:row>
    <x:row r="8">
      <x:c r="A8" s="34" t="str">
        <x:v>RCS_PD_3.0</x:v>
      </x:c>
      <x:c r="B8" s="34" t="str">
        <x:v>STAGING</x:v>
      </x:c>
      <x:c r="C8" s="34" t="str">
        <x:v>PASS</x:v>
      </x:c>
      <x:c r="D8" s="34" t="str">
        <x:v>2026-09-23</x:v>
      </x:c>
      <x:c r="E8" s="34" t="str">
        <x:v>YES</x:v>
      </x:c>
    </x:row>
    <x:row r="9">
      <x:c r="A9" s="36" t="str">
        <x:v>RCS_PD_4.0</x:v>
      </x:c>
      <x:c r="B9" s="36" t="str">
        <x:v>PRODUCTION_CANDIDATE</x:v>
      </x:c>
      <x:c r="C9" s="36" t="str">
        <x:v>PASS</x:v>
      </x:c>
      <x:c r="D9" s="36" t="str">
        <x:v>2026-09-23</x:v>
      </x:c>
      <x:c r="E9" s="36" t="str">
        <x:v>NO</x:v>
      </x:c>
    </x:row>
  </x:sheetData>
  <x:mergeCells>
    <x:mergeCell ref="A2:E2"/>
    <x:mergeCell ref="A3:E3"/>
  </x:mergeCells>
  <x:conditionalFormatting sqref="B7:B9">
    <x:cfRule type="containsText" dxfId="3" priority="1" operator="containsText" text="PRODUCTION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14" hidden="0" customWidth="1"/>
    <x:col min="4" max="4" width="38" hidden="0" customWidth="1"/>
  </x:cols>
  <x:sheetData>
    <x:row r="2">
      <x:c r="A2" s="29" t="str">
        <x:v>Model Governance Workflow</x:v>
      </x:c>
      <x:c r="B2" s="30"/>
      <x:c r="C2" s="30"/>
      <x:c r="D2" s="30"/>
    </x:row>
    <x:row r="3">
      <x:c r="A3" s="31" t="str">
        <x:v>Development, validation, approval, release and monitoring accountability</x:v>
      </x:c>
      <x:c r="B3" s="30"/>
      <x:c r="C3" s="30"/>
      <x:c r="D3" s="30"/>
    </x:row>
    <x:row r="4" ht="3" customHeight="1">
      <x:c r="A4" s="32"/>
      <x:c r="B4" s="32"/>
      <x:c r="C4" s="32"/>
      <x:c r="D4" s="32"/>
    </x:row>
    <x:row r="5">
      <x:c r="A5" s="30"/>
      <x:c r="B5" s="30"/>
      <x:c r="C5" s="30"/>
      <x:c r="D5" s="30"/>
    </x:row>
    <x:row r="6">
      <x:c r="A6" s="9" t="str">
        <x:v>Stage</x:v>
      </x:c>
      <x:c r="B6" s="9" t="str">
        <x:v>Owner</x:v>
      </x:c>
      <x:c r="C6" s="9" t="str">
        <x:v>Status</x:v>
      </x:c>
      <x:c r="D6" s="9" t="str">
        <x:v>Required evidence</x:v>
      </x:c>
    </x:row>
    <x:row r="7">
      <x:c r="A7" s="34" t="str">
        <x:v>1. Business request</x:v>
      </x:c>
      <x:c r="B7" s="34" t="str">
        <x:v>Retail Risk</x:v>
      </x:c>
      <x:c r="C7" s="34" t="str">
        <x:v>COMPLETE</x:v>
      </x:c>
      <x:c r="D7" s="34" t="str">
        <x:v>Use case, target and risk appetite</x:v>
      </x:c>
    </x:row>
    <x:row r="8">
      <x:c r="A8" s="34" t="str">
        <x:v>2. Data approval</x:v>
      </x:c>
      <x:c r="B8" s="34" t="str">
        <x:v>Data Governance</x:v>
      </x:c>
      <x:c r="C8" s="34" t="str">
        <x:v>COMPLETE</x:v>
      </x:c>
      <x:c r="D8" s="34" t="str">
        <x:v>Data dictionary and synthetic lineage</x:v>
      </x:c>
    </x:row>
    <x:row r="9">
      <x:c r="A9" s="34" t="str">
        <x:v>3. Development</x:v>
      </x:c>
      <x:c r="B9" s="34" t="str">
        <x:v>Model Development</x:v>
      </x:c>
      <x:c r="C9" s="34" t="str">
        <x:v>COMPLETE</x:v>
      </x:c>
      <x:c r="D9" s="34" t="str">
        <x:v>WOE scorecard and reject inference</x:v>
      </x:c>
    </x:row>
    <x:row r="10">
      <x:c r="A10" s="34" t="str">
        <x:v>4. Independent validation</x:v>
      </x:c>
      <x:c r="B10" s="34" t="str">
        <x:v>Model Risk</x:v>
      </x:c>
      <x:c r="C10" s="34" t="str">
        <x:v>COMPLETE</x:v>
      </x:c>
      <x:c r="D10" s="34" t="str">
        <x:v>Discrimination, calibration, stability, fairness</x:v>
      </x:c>
    </x:row>
    <x:row r="11">
      <x:c r="A11" s="34" t="str">
        <x:v>5. UAT</x:v>
      </x:c>
      <x:c r="B11" s="34" t="str">
        <x:v>Credit Operations</x:v>
      </x:c>
      <x:c r="C11" s="34" t="str">
        <x:v>READY</x:v>
      </x:c>
      <x:c r="D11" s="34" t="str">
        <x:v>API, reason codes and policy tests</x:v>
      </x:c>
    </x:row>
    <x:row r="12">
      <x:c r="A12" s="34" t="str">
        <x:v>6. Committee approval</x:v>
      </x:c>
      <x:c r="B12" s="34" t="str">
        <x:v>Model Risk Committee</x:v>
      </x:c>
      <x:c r="C12" s="34" t="str">
        <x:v>PENDING</x:v>
      </x:c>
      <x:c r="D12" s="34" t="str">
        <x:v>Approval memo and conditions</x:v>
      </x:c>
    </x:row>
    <x:row r="13">
      <x:c r="A13" s="34" t="str">
        <x:v>7. Production release</x:v>
      </x:c>
      <x:c r="B13" s="34" t="str">
        <x:v>Technology</x:v>
      </x:c>
      <x:c r="C13" s="34" t="str">
        <x:v>PENDING</x:v>
      </x:c>
      <x:c r="D13" s="34" t="str">
        <x:v>Release and rollback record</x:v>
      </x:c>
    </x:row>
    <x:row r="14">
      <x:c r="A14" s="36" t="str">
        <x:v>8. Monitoring</x:v>
      </x:c>
      <x:c r="B14" s="36" t="str">
        <x:v>Model Owner</x:v>
      </x:c>
      <x:c r="C14" s="36" t="str">
        <x:v>READY</x:v>
      </x:c>
      <x:c r="D14" s="36" t="str">
        <x:v>Monthly thresholds and actions</x:v>
      </x:c>
    </x:row>
  </x:sheetData>
  <x:mergeCells>
    <x:mergeCell ref="A2:D2"/>
    <x:mergeCell ref="A3:D3"/>
  </x:mergeCells>
  <x:conditionalFormatting sqref="C7:C14">
    <x:cfRule type="containsText" dxfId="4" priority="1" operator="containsText" text="PENDING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.220000267028809" hidden="0" customWidth="1"/>
    <x:col min="2" max="2" width="21.219999313354492" hidden="0" customWidth="1"/>
    <x:col min="3" max="3" width="14.109999656677246" hidden="0" customWidth="1"/>
    <x:col min="4" max="4" width="8.109999656677246" hidden="0" customWidth="1"/>
    <x:col min="5" max="5" width="11.329999923706055" hidden="0" customWidth="1"/>
    <x:col min="6" max="6" width="16" hidden="0" customWidth="1"/>
    <x:col min="7" max="7" width="9.890000343322754" hidden="0" customWidth="1"/>
    <x:col min="8" max="8" width="4.670000076293945" hidden="0" customWidth="1"/>
    <x:col min="9" max="9" width="5.110000133514404" hidden="0" customWidth="1"/>
  </x:cols>
  <x:sheetData>
    <x:row r="2">
      <x:c r="A2" s="29" t="str">
        <x:v>Bin-level Stability</x:v>
      </x:c>
      <x:c r="B2" s="30"/>
      <x:c r="C2" s="30"/>
      <x:c r="D2" s="30"/>
      <x:c r="E2" s="30"/>
      <x:c r="F2" s="30"/>
      <x:c r="G2" s="30"/>
      <x:c r="H2" s="30"/>
      <x:c r="I2" s="30"/>
    </x:row>
    <x:row r="3">
      <x:c r="A3" s="31" t="str">
        <x:v>Development-to-OOT population and risk movement by V4 scorecard bin</x:v>
      </x:c>
      <x:c r="B3" s="30"/>
      <x:c r="C3" s="30"/>
      <x:c r="D3" s="30"/>
      <x:c r="E3" s="30"/>
      <x:c r="F3" s="30"/>
      <x:c r="G3" s="30"/>
      <x:c r="H3" s="30"/>
      <x:c r="I3" s="30"/>
    </x:row>
    <x:row r="4" ht="3" customHeight="1">
      <x:c r="A4" s="83"/>
      <x:c r="B4" s="83"/>
      <x:c r="C4" s="83"/>
      <x:c r="D4" s="83"/>
      <x:c r="E4" s="83"/>
      <x:c r="F4" s="83"/>
      <x:c r="G4" s="83"/>
      <x:c r="H4" s="83"/>
      <x:c r="I4" s="83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</x:row>
    <x:row r="6">
      <x:c r="A6" s="59" t="str">
        <x:v>Feature</x:v>
      </x:c>
      <x:c r="B6" s="59" t="str">
        <x:v>Bin</x:v>
      </x:c>
      <x:c r="C6" s="59" t="str">
        <x:v>Development share</x:v>
      </x:c>
      <x:c r="D6" s="59" t="str">
        <x:v>OOT share</x:v>
      </x:c>
      <x:c r="E6" s="59" t="str">
        <x:v>PSI component</x:v>
      </x:c>
      <x:c r="F6" s="59" t="str">
        <x:v>Development bad rate</x:v>
      </x:c>
      <x:c r="G6" s="59" t="str">
        <x:v>OOT bad rate</x:v>
      </x:c>
      <x:c r="H6" s="59" t="str">
        <x:v>WOE</x:v>
      </x:c>
      <x:c r="I6" s="59" t="str">
        <x:v>Action</x:v>
      </x:c>
    </x:row>
    <x:row r="7">
      <x:c r="A7" s="34" t="str">
        <x:v>age</x:v>
      </x:c>
      <x:c r="B7" s="34" t="str">
        <x:v>(-inf, 41.0]</x:v>
      </x:c>
      <x:c r="C7" s="35" t="n">
        <x:v>0.7672222222222222</x:v>
      </x:c>
      <x:c r="D7" s="35" t="n">
        <x:v>0.76875</x:v>
      </x:c>
      <x:c r="E7" s="38" t="n">
        <x:v>0.0000030392551040415284</x:v>
      </x:c>
      <x:c r="F7" s="35" t="n">
        <x:v>0.12961622013034033</x:v>
      </x:c>
      <x:c r="G7" s="35" t="n">
        <x:v>0.12574525745257453</x:v>
      </x:c>
      <x:c r="H7" s="38" t="n">
        <x:v>0.004937928219895507</x:v>
      </x:c>
      <x:c r="I7" s="34" t="str">
        <x:v>Stable</x:v>
      </x:c>
    </x:row>
    <x:row r="8">
      <x:c r="A8" s="34" t="str">
        <x:v>age</x:v>
      </x:c>
      <x:c r="B8" s="34" t="str">
        <x:v>(41.0, inf]</x:v>
      </x:c>
      <x:c r="C8" s="35" t="n">
        <x:v>0.23277777777777778</x:v>
      </x:c>
      <x:c r="D8" s="35" t="n">
        <x:v>0.23125</x:v>
      </x:c>
      <x:c r="E8" s="38" t="n">
        <x:v>0.000010060231236433954</x:v>
      </x:c>
      <x:c r="F8" s="35" t="n">
        <x:v>0.1318615751789976</x:v>
      </x:c>
      <x:c r="G8" s="35" t="n">
        <x:v>0.15495495495495495</x:v>
      </x:c>
      <x:c r="H8" s="38" t="n">
        <x:v>-0.01614211496392684</x:v>
      </x:c>
      <x:c r="I8" s="34" t="str">
        <x:v>Stable</x:v>
      </x:c>
    </x:row>
    <x:row r="9">
      <x:c r="A9" s="34" t="str">
        <x:v>monthly_income</x:v>
      </x:c>
      <x:c r="B9" s="34" t="str">
        <x:v>(-inf, 9709602.5]</x:v>
      </x:c>
      <x:c r="C9" s="35" t="n">
        <x:v>0.125</x:v>
      </x:c>
      <x:c r="D9" s="35" t="n">
        <x:v>0.11583333333333333</x:v>
      </x:c>
      <x:c r="E9" s="38" t="n">
        <x:v>0.0006981458088510038</x:v>
      </x:c>
      <x:c r="F9" s="35" t="n">
        <x:v>0.16333333333333333</x:v>
      </x:c>
      <x:c r="G9" s="35" t="n">
        <x:v>0.20863309352517986</x:v>
      </x:c>
      <x:c r="H9" s="38" t="n">
        <x:v>-0.26566077302381613</x:v>
      </x:c>
      <x:c r="I9" s="34" t="str">
        <x:v>Stable</x:v>
      </x:c>
    </x:row>
    <x:row r="10">
      <x:c r="A10" s="34" t="str">
        <x:v>monthly_income</x:v>
      </x:c>
      <x:c r="B10" s="34" t="str">
        <x:v>(15320245.25, 18087163.5]</x:v>
      </x:c>
      <x:c r="C10" s="35" t="n">
        <x:v>0.125</x:v>
      </x:c>
      <x:c r="D10" s="35" t="n">
        <x:v>0.125</x:v>
      </x:c>
      <x:c r="E10" s="38" t="n">
        <x:v>0</x:v>
      </x:c>
      <x:c r="F10" s="35" t="n">
        <x:v>0.14333333333333334</x:v>
      </x:c>
      <x:c r="G10" s="35" t="n">
        <x:v>0.11666666666666667</x:v>
      </x:c>
      <x:c r="H10" s="38" t="n">
        <x:v>-0.11190582464686877</x:v>
      </x:c>
      <x:c r="I10" s="34" t="str">
        <x:v>Stable</x:v>
      </x:c>
    </x:row>
    <x:row r="11">
      <x:c r="A11" s="34" t="str">
        <x:v>monthly_income</x:v>
      </x:c>
      <x:c r="B11" s="34" t="str">
        <x:v>(18087163.5, 21605372.0]</x:v>
      </x:c>
      <x:c r="C11" s="35" t="n">
        <x:v>0.125</x:v>
      </x:c>
      <x:c r="D11" s="35" t="n">
        <x:v>0.13625</x:v>
      </x:c>
      <x:c r="E11" s="38" t="n">
        <x:v>0.0009694990827118405</x:v>
      </x:c>
      <x:c r="F11" s="35" t="n">
        <x:v>0.12666666666666668</x:v>
      </x:c>
      <x:c r="G11" s="35" t="n">
        <x:v>0.1437308868501529</x:v>
      </x:c>
      <x:c r="H11" s="38" t="n">
        <x:v>0.030456284193546384</x:v>
      </x:c>
      <x:c r="I11" s="34" t="str">
        <x:v>Stable</x:v>
      </x:c>
    </x:row>
    <x:row r="12">
      <x:c r="A12" s="34" t="str">
        <x:v>monthly_income</x:v>
      </x:c>
      <x:c r="B12" s="34" t="str">
        <x:v>(21605372.0, 26363887.25]</x:v>
      </x:c>
      <x:c r="C12" s="35" t="n">
        <x:v>0.125</x:v>
      </x:c>
      <x:c r="D12" s="35" t="n">
        <x:v>0.13208333333333333</x:v>
      </x:c>
      <x:c r="E12" s="38" t="n">
        <x:v>0.00039042836948264653</x:v>
      </x:c>
      <x:c r="F12" s="35" t="n">
        <x:v>0.12111111111111111</x:v>
      </x:c>
      <x:c r="G12" s="35" t="n">
        <x:v>0.11987381703470032</x:v>
      </x:c>
      <x:c r="H12" s="38" t="n">
        <x:v>0.08144371475401944</x:v>
      </x:c>
      <x:c r="I12" s="34" t="str">
        <x:v>Stable</x:v>
      </x:c>
    </x:row>
    <x:row r="13">
      <x:c r="A13" s="34" t="str">
        <x:v>monthly_income</x:v>
      </x:c>
      <x:c r="B13" s="34" t="str">
        <x:v>(26363887.25, 34771742.875]</x:v>
      </x:c>
      <x:c r="C13" s="35" t="n">
        <x:v>0.125</x:v>
      </x:c>
      <x:c r="D13" s="35" t="n">
        <x:v>0.12541666666666668</x:v>
      </x:c>
      <x:c r="E13" s="38" t="n">
        <x:v>0.0000013865792052811762</x:v>
      </x:c>
      <x:c r="F13" s="35" t="n">
        <x:v>0.09666666666666666</x:v>
      </x:c>
      <x:c r="G13" s="35" t="n">
        <x:v>0.08970099667774087</x:v>
      </x:c>
      <x:c r="H13" s="38" t="n">
        <x:v>0.333145517985032</x:v>
      </x:c>
      <x:c r="I13" s="34" t="str">
        <x:v>Stable</x:v>
      </x:c>
    </x:row>
    <x:row r="14">
      <x:c r="A14" s="34" t="str">
        <x:v>monthly_income</x:v>
      </x:c>
      <x:c r="B14" s="34" t="str">
        <x:v>(34771742.875, inf]</x:v>
      </x:c>
      <x:c r="C14" s="35" t="n">
        <x:v>0.125</x:v>
      </x:c>
      <x:c r="D14" s="35" t="n">
        <x:v>0.11416666666666667</x:v>
      </x:c>
      <x:c r="E14" s="38" t="n">
        <x:v>0.0009820889895714175</x:v>
      </x:c>
      <x:c r="F14" s="35" t="n">
        <x:v>0.07888888888888888</x:v>
      </x:c>
      <x:c r="G14" s="35" t="n">
        <x:v>0.051094890510948905</x:v>
      </x:c>
      <x:c r="H14" s="38" t="n">
        <x:v>0.5545640446200455</x:v>
      </x:c>
      <x:c r="I14" s="34" t="str">
        <x:v>Stable</x:v>
      </x:c>
    </x:row>
    <x:row r="15">
      <x:c r="A15" s="34" t="str">
        <x:v>monthly_income</x:v>
      </x:c>
      <x:c r="B15" s="34" t="str">
        <x:v>(9709602.5, 15320245.25]</x:v>
      </x:c>
      <x:c r="C15" s="35" t="n">
        <x:v>0.25</x:v>
      </x:c>
      <x:c r="D15" s="35" t="n">
        <x:v>0.25125</x:v>
      </x:c>
      <x:c r="E15" s="38" t="n">
        <x:v>0.000006234426888798577</x:v>
      </x:c>
      <x:c r="F15" s="35" t="n">
        <x:v>0.15555555555555556</x:v>
      </x:c>
      <x:c r="G15" s="35" t="n">
        <x:v>0.16417910447761194</x:v>
      </x:c>
      <x:c r="H15" s="38" t="n">
        <x:v>-0.2063408331558234</x:v>
      </x:c>
      <x:c r="I15" s="34" t="str">
        <x:v>Stable</x:v>
      </x:c>
    </x:row>
    <x:row r="16">
      <x:c r="A16" s="34" t="str">
        <x:v>employment_months</x:v>
      </x:c>
      <x:c r="B16" s="34" t="str">
        <x:v>(-inf, 23.0]</x:v>
      </x:c>
      <x:c r="C16" s="35" t="n">
        <x:v>0.12527777777777777</x:v>
      </x:c>
      <x:c r="D16" s="35" t="n">
        <x:v>0.10125</x:v>
      </x:c>
      <x:c r="E16" s="38" t="n">
        <x:v>0.005116493935185552</x:v>
      </x:c>
      <x:c r="F16" s="35" t="n">
        <x:v>0.1419068736141907</x:v>
      </x:c>
      <x:c r="G16" s="35" t="n">
        <x:v>0.1646090534979424</x:v>
      </x:c>
      <x:c r="H16" s="38" t="n">
        <x:v>-0.10117709823017097</x:v>
      </x:c>
      <x:c r="I16" s="34" t="str">
        <x:v>Stable</x:v>
      </x:c>
    </x:row>
    <x:row r="17">
      <x:c r="A17" s="34" t="str">
        <x:v>employment_months</x:v>
      </x:c>
      <x:c r="B17" s="34" t="str">
        <x:v>(23.0, 42.0]</x:v>
      </x:c>
      <x:c r="C17" s="35" t="n">
        <x:v>0.25055555555555553</x:v>
      </x:c>
      <x:c r="D17" s="35" t="n">
        <x:v>0.26916666666666667</x:v>
      </x:c>
      <x:c r="E17" s="38" t="n">
        <x:v>0.0013334878201348803</x:v>
      </x:c>
      <x:c r="F17" s="35" t="n">
        <x:v>0.13359201773835921</x:v>
      </x:c>
      <x:c r="G17" s="35" t="n">
        <x:v>0.12229102167182662</x:v>
      </x:c>
      <x:c r="H17" s="38" t="n">
        <x:v>-0.02965314994655122</x:v>
      </x:c>
      <x:c r="I17" s="34" t="str">
        <x:v>Stable</x:v>
      </x:c>
    </x:row>
    <x:row r="18">
      <x:c r="A18" s="34" t="str">
        <x:v>employment_months</x:v>
      </x:c>
      <x:c r="B18" s="34" t="str">
        <x:v>(42.0, 62.0]</x:v>
      </x:c>
      <x:c r="C18" s="35" t="n">
        <x:v>0.25458333333333333</x:v>
      </x:c>
      <x:c r="D18" s="35" t="n">
        <x:v>0.2529166666666667</x:v>
      </x:c>
      <x:c r="E18" s="38" t="n">
        <x:v>0.000010946946853494963</x:v>
      </x:c>
      <x:c r="F18" s="35" t="n">
        <x:v>0.132569558101473</x:v>
      </x:c>
      <x:c r="G18" s="35" t="n">
        <x:v>0.13344316309719934</x:v>
      </x:c>
      <x:c r="H18" s="38" t="n">
        <x:v>-0.020779085085265398</x:v>
      </x:c>
      <x:c r="I18" s="34" t="str">
        <x:v>Stable</x:v>
      </x:c>
    </x:row>
    <x:row r="19">
      <x:c r="A19" s="34" t="str">
        <x:v>employment_months</x:v>
      </x:c>
      <x:c r="B19" s="34" t="str">
        <x:v>(62.0, 96.0]</x:v>
      </x:c>
      <x:c r="C19" s="35" t="n">
        <x:v>0.24902777777777776</x:v>
      </x:c>
      <x:c r="D19" s="35" t="n">
        <x:v>0.2679166666666667</x:v>
      </x:c>
      <x:c r="E19" s="38" t="n">
        <x:v>0.0013809957423446017</x:v>
      </x:c>
      <x:c r="F19" s="35" t="n">
        <x:v>0.1249302844394869</x:v>
      </x:c>
      <x:c r="G19" s="35" t="n">
        <x:v>0.12597200622083982</x:v>
      </x:c>
      <x:c r="H19" s="38" t="n">
        <x:v>0.04717081534787965</x:v>
      </x:c>
      <x:c r="I19" s="34" t="str">
        <x:v>Stable</x:v>
      </x:c>
    </x:row>
    <x:row r="20">
      <x:c r="A20" s="34" t="str">
        <x:v>employment_months</x:v>
      </x:c>
      <x:c r="B20" s="34" t="str">
        <x:v>(96.0, inf]</x:v>
      </x:c>
      <x:c r="C20" s="35" t="n">
        <x:v>0.12055555555555555</x:v>
      </x:c>
      <x:c r="D20" s="35" t="n">
        <x:v>0.10875</x:v>
      </x:c>
      <x:c r="E20" s="38" t="n">
        <x:v>0.0012166689704043749</x:v>
      </x:c>
      <x:c r="F20" s="35" t="n">
        <x:v>0.11635944700460829</x:v>
      </x:c>
      <x:c r="G20" s="35" t="n">
        <x:v>0.1417624521072797</x:v>
      </x:c>
      <x:c r="H20" s="38" t="n">
        <x:v>0.12561382722769046</x:v>
      </x:c>
      <x:c r="I20" s="34" t="str">
        <x:v>Stable</x:v>
      </x:c>
    </x:row>
    <x:row r="21">
      <x:c r="A21" s="34" t="str">
        <x:v>bureau_score</x:v>
      </x:c>
      <x:c r="B21" s="34" t="str">
        <x:v>(-inf, 557.0]</x:v>
      </x:c>
      <x:c r="C21" s="35" t="n">
        <x:v>0.12611111111111112</x:v>
      </x:c>
      <x:c r="D21" s="35" t="n">
        <x:v>0.12916666666666668</x:v>
      </x:c>
      <x:c r="E21" s="38" t="n">
        <x:v>0.00007315063416835915</x:v>
      </x:c>
      <x:c r="F21" s="35" t="n">
        <x:v>0.20594713656387664</x:v>
      </x:c>
      <x:c r="G21" s="35" t="n">
        <x:v>0.23225806451612904</x:v>
      </x:c>
      <x:c r="H21" s="38" t="n">
        <x:v>-0.5494600634446275</x:v>
      </x:c>
      <x:c r="I21" s="34" t="str">
        <x:v>Stable</x:v>
      </x:c>
    </x:row>
    <x:row r="22">
      <x:c r="A22" s="34" t="str">
        <x:v>bureau_score</x:v>
      </x:c>
      <x:c r="B22" s="34" t="str">
        <x:v>(557.0, 591.0]</x:v>
      </x:c>
      <x:c r="C22" s="35" t="n">
        <x:v>0.125</x:v>
      </x:c>
      <x:c r="D22" s="35" t="n">
        <x:v>0.12041666666666667</x:v>
      </x:c>
      <x:c r="E22" s="38" t="n">
        <x:v>0.00017121402165894042</x:v>
      </x:c>
      <x:c r="F22" s="35" t="n">
        <x:v>0.1622222222222222</x:v>
      </x:c>
      <x:c r="G22" s="35" t="n">
        <x:v>0.16262975778546712</x:v>
      </x:c>
      <x:c r="H22" s="38" t="n">
        <x:v>-0.2579837464973058</x:v>
      </x:c>
      <x:c r="I22" s="34" t="str">
        <x:v>Stable</x:v>
      </x:c>
    </x:row>
    <x:row r="23">
      <x:c r="A23" s="34" t="str">
        <x:v>bureau_score</x:v>
      </x:c>
      <x:c r="B23" s="34" t="str">
        <x:v>(591.0, 638.0]</x:v>
      </x:c>
      <x:c r="C23" s="35" t="n">
        <x:v>0.2501388888888889</x:v>
      </x:c>
      <x:c r="D23" s="35" t="n">
        <x:v>0.24625</x:v>
      </x:c>
      <x:c r="E23" s="38" t="n">
        <x:v>0.00006093515206235484</x:v>
      </x:c>
      <x:c r="F23" s="35" t="n">
        <x:v>0.14380899500277625</x:v>
      </x:c>
      <x:c r="G23" s="35" t="n">
        <x:v>0.1404399323181049</x:v>
      </x:c>
      <x:c r="H23" s="38" t="n">
        <x:v>-0.1146105430744878</x:v>
      </x:c>
      <x:c r="I23" s="34" t="str">
        <x:v>Stable</x:v>
      </x:c>
    </x:row>
    <x:row r="24">
      <x:c r="A24" s="34" t="str">
        <x:v>bureau_score</x:v>
      </x:c>
      <x:c r="B24" s="34" t="str">
        <x:v>(638.0, 661.0]</x:v>
      </x:c>
      <x:c r="C24" s="35" t="n">
        <x:v>0.12611111111111112</x:v>
      </x:c>
      <x:c r="D24" s="35" t="n">
        <x:v>0.12875</x:v>
      </x:c>
      <x:c r="E24" s="38" t="n">
        <x:v>0.000054649243378704815</x:v>
      </x:c>
      <x:c r="F24" s="35" t="n">
        <x:v>0.1211453744493392</x:v>
      </x:c>
      <x:c r="G24" s="35" t="n">
        <x:v>0.1262135922330097</x:v>
      </x:c>
      <x:c r="H24" s="38" t="n">
        <x:v>0.08070585044917199</x:v>
      </x:c>
      <x:c r="I24" s="34" t="str">
        <x:v>Stable</x:v>
      </x:c>
    </x:row>
    <x:row r="25">
      <x:c r="A25" s="34" t="str">
        <x:v>bureau_score</x:v>
      </x:c>
      <x:c r="B25" s="34" t="str">
        <x:v>(661.0, 720.0]</x:v>
      </x:c>
      <x:c r="C25" s="35" t="n">
        <x:v>0.24833333333333332</x:v>
      </x:c>
      <x:c r="D25" s="35" t="n">
        <x:v>0.23458333333333334</x:v>
      </x:c>
      <x:c r="E25" s="38" t="n">
        <x:v>0.0007832142852278148</x:v>
      </x:c>
      <x:c r="F25" s="35" t="n">
        <x:v>0.09675615212527965</x:v>
      </x:c>
      <x:c r="G25" s="35" t="n">
        <x:v>0.08170515097690942</x:v>
      </x:c>
      <x:c r="H25" s="38" t="n">
        <x:v>0.33420858962955163</x:v>
      </x:c>
      <x:c r="I25" s="34" t="str">
        <x:v>Stable</x:v>
      </x:c>
    </x:row>
    <x:row r="26">
      <x:c r="A26" s="34" t="str">
        <x:v>bureau_score</x:v>
      </x:c>
      <x:c r="B26" s="34" t="str">
        <x:v>(720.0, inf]</x:v>
      </x:c>
      <x:c r="C26" s="35" t="n">
        <x:v>0.12430555555555556</x:v>
      </x:c>
      <x:c r="D26" s="35" t="n">
        <x:v>0.14083333333333334</x:v>
      </x:c>
      <x:c r="E26" s="38" t="n">
        <x:v>0.0020632363110106256</x:v>
      </x:c>
      <x:c r="F26" s="35" t="n">
        <x:v>0.06927374301675977</x:v>
      </x:c>
      <x:c r="G26" s="35" t="n">
        <x:v>0.09171597633136094</x:v>
      </x:c>
      <x:c r="H26" s="38" t="n">
        <x:v>0.6934535492004055</x:v>
      </x:c>
      <x:c r="I26" s="34" t="str">
        <x:v>Stable</x:v>
      </x:c>
    </x:row>
    <x:row r="27">
      <x:c r="A27" s="34" t="str">
        <x:v>existing_dti</x:v>
      </x:c>
      <x:c r="B27" s="34" t="str">
        <x:v>(-inf, 0.125]</x:v>
      </x:c>
      <x:c r="C27" s="35" t="n">
        <x:v>0.125</x:v>
      </x:c>
      <x:c r="D27" s="35" t="n">
        <x:v>0.11916666666666667</x:v>
      </x:c>
      <x:c r="E27" s="38" t="n">
        <x:v>0.00027877887237869904</x:v>
      </x:c>
      <x:c r="F27" s="35" t="n">
        <x:v>0.09777777777777778</x:v>
      </x:c>
      <x:c r="G27" s="35" t="n">
        <x:v>0.1048951048951049</x:v>
      </x:c>
      <x:c r="H27" s="38" t="n">
        <x:v>0.32055174687951693</x:v>
      </x:c>
      <x:c r="I27" s="34" t="str">
        <x:v>Stable</x:v>
      </x:c>
    </x:row>
    <x:row r="28">
      <x:c r="A28" s="34" t="str">
        <x:v>existing_dti</x:v>
      </x:c>
      <x:c r="B28" s="34" t="str">
        <x:v>(0.125, 0.241]</x:v>
      </x:c>
      <x:c r="C28" s="35" t="n">
        <x:v>0.25</x:v>
      </x:c>
      <x:c r="D28" s="35" t="n">
        <x:v>0.25333333333333335</x:v>
      </x:c>
      <x:c r="E28" s="38" t="n">
        <x:v>0.0000441507558334027</x:v>
      </x:c>
      <x:c r="F28" s="35" t="n">
        <x:v>0.10555555555555556</x:v>
      </x:c>
      <x:c r="G28" s="35" t="n">
        <x:v>0.10032894736842106</x:v>
      </x:c>
      <x:c r="H28" s="38" t="n">
        <x:v>0.2380861588940059</x:v>
      </x:c>
      <x:c r="I28" s="34" t="str">
        <x:v>Stable</x:v>
      </x:c>
    </x:row>
    <x:row r="29">
      <x:c r="A29" s="34" t="str">
        <x:v>existing_dti</x:v>
      </x:c>
      <x:c r="B29" s="34" t="str">
        <x:v>(0.241, 0.298]</x:v>
      </x:c>
      <x:c r="C29" s="35" t="n">
        <x:v>0.125</x:v>
      </x:c>
      <x:c r="D29" s="35" t="n">
        <x:v>0.11791666666666667</x:v>
      </x:c>
      <x:c r="E29" s="38" t="n">
        <x:v>0.0004132103371751573</x:v>
      </x:c>
      <x:c r="F29" s="35" t="n">
        <x:v>0.1111111111111111</x:v>
      </x:c>
      <x:c r="G29" s="35" t="n">
        <x:v>0.13427561837455831</x:v>
      </x:c>
      <x:c r="H29" s="38" t="n">
        <x:v>0.17851718962714708</x:v>
      </x:c>
      <x:c r="I29" s="34" t="str">
        <x:v>Stable</x:v>
      </x:c>
    </x:row>
    <x:row r="30">
      <x:c r="A30" s="34" t="str">
        <x:v>existing_dti</x:v>
      </x:c>
      <x:c r="B30" s="34" t="str">
        <x:v>(0.298, 0.358]</x:v>
      </x:c>
      <x:c r="C30" s="35" t="n">
        <x:v>0.125</x:v>
      </x:c>
      <x:c r="D30" s="35" t="n">
        <x:v>0.11791666666666667</x:v>
      </x:c>
      <x:c r="E30" s="38" t="n">
        <x:v>0.0004132103371751573</x:v>
      </x:c>
      <x:c r="F30" s="35" t="n">
        <x:v>0.11777777777777777</x:v>
      </x:c>
      <x:c r="G30" s="35" t="n">
        <x:v>0.1166077738515901</x:v>
      </x:c>
      <x:c r="H30" s="38" t="n">
        <x:v>0.11300638551679897</x:v>
      </x:c>
      <x:c r="I30" s="34" t="str">
        <x:v>Stable</x:v>
      </x:c>
    </x:row>
    <x:row r="31">
      <x:c r="A31" s="34" t="str">
        <x:v>existing_dti</x:v>
      </x:c>
      <x:c r="B31" s="34" t="str">
        <x:v>(0.358, 0.429]</x:v>
      </x:c>
      <x:c r="C31" s="35" t="n">
        <x:v>0.12513888888888888</x:v>
      </x:c>
      <x:c r="D31" s="35" t="n">
        <x:v>0.12791666666666668</x:v>
      </x:c>
      <x:c r="E31" s="38" t="n">
        <x:v>0.000060985496241580854</x:v>
      </x:c>
      <x:c r="F31" s="35" t="n">
        <x:v>0.13429522752497225</x:v>
      </x:c>
      <x:c r="G31" s="35" t="n">
        <x:v>0.14332247557003258</x:v>
      </x:c>
      <x:c r="H31" s="38" t="n">
        <x:v>-0.036541138135608296</x:v>
      </x:c>
      <x:c r="I31" s="34" t="str">
        <x:v>Stable</x:v>
      </x:c>
    </x:row>
    <x:row r="32">
      <x:c r="A32" s="34" t="str">
        <x:v>existing_dti</x:v>
      </x:c>
      <x:c r="B32" s="34" t="str">
        <x:v>(0.429, 0.526]</x:v>
      </x:c>
      <x:c r="C32" s="35" t="n">
        <x:v>0.125</x:v>
      </x:c>
      <x:c r="D32" s="35" t="n">
        <x:v>0.12041666666666667</x:v>
      </x:c>
      <x:c r="E32" s="38" t="n">
        <x:v>0.00017121402165894042</x:v>
      </x:c>
      <x:c r="F32" s="35" t="n">
        <x:v>0.16666666666666666</x:v>
      </x:c>
      <x:c r="G32" s="35" t="n">
        <x:v>0.18339100346020762</x:v>
      </x:c>
      <x:c r="H32" s="38" t="n">
        <x:v>-0.2897850484259057</x:v>
      </x:c>
      <x:c r="I32" s="34" t="str">
        <x:v>Stable</x:v>
      </x:c>
    </x:row>
    <x:row r="33">
      <x:c r="A33" s="34" t="str">
        <x:v>existing_dti</x:v>
      </x:c>
      <x:c r="B33" s="34" t="str">
        <x:v>(0.526, inf]</x:v>
      </x:c>
      <x:c r="C33" s="35" t="n">
        <x:v>0.12486111111111112</x:v>
      </x:c>
      <x:c r="D33" s="35" t="n">
        <x:v>0.14333333333333334</x:v>
      </x:c>
      <x:c r="E33" s="38" t="n">
        <x:v>0.002548629338721537</x:v>
      </x:c>
      <x:c r="F33" s="35" t="n">
        <x:v>0.20244716351501668</x:v>
      </x:c>
      <x:c r="G33" s="35" t="n">
        <x:v>0.17151162790697674</x:v>
      </x:c>
      <x:c r="H33" s="38" t="n">
        <x:v>-0.5275388406992619</x:v>
      </x:c>
      <x:c r="I33" s="34" t="str">
        <x:v>Stable</x:v>
      </x:c>
    </x:row>
    <x:row r="34">
      <x:c r="A34" s="34" t="str">
        <x:v>requested_amount</x:v>
      </x:c>
      <x:c r="B34" s="34" t="str">
        <x:v>(-inf, 26386371.75]</x:v>
      </x:c>
      <x:c r="C34" s="35" t="n">
        <x:v>0.125</x:v>
      </x:c>
      <x:c r="D34" s="35" t="n">
        <x:v>0.135</x:v>
      </x:c>
      <x:c r="E34" s="38" t="n">
        <x:v>0.0007696104113612847</x:v>
      </x:c>
      <x:c r="F34" s="35" t="n">
        <x:v>0.08777777777777777</x:v>
      </x:c>
      <x:c r="G34" s="35" t="n">
        <x:v>0.09259259259259259</x:v>
      </x:c>
      <x:c r="H34" s="38" t="n">
        <x:v>0.43745652769513077</x:v>
      </x:c>
      <x:c r="I34" s="34" t="str">
        <x:v>Stable</x:v>
      </x:c>
    </x:row>
    <x:row r="35">
      <x:c r="A35" s="34" t="str">
        <x:v>requested_amount</x:v>
      </x:c>
      <x:c r="B35" s="34" t="str">
        <x:v>(116900394.875, inf]</x:v>
      </x:c>
      <x:c r="C35" s="35" t="n">
        <x:v>0.125</x:v>
      </x:c>
      <x:c r="D35" s="35" t="n">
        <x:v>0.125</x:v>
      </x:c>
      <x:c r="E35" s="38" t="n">
        <x:v>0</x:v>
      </x:c>
      <x:c r="F35" s="35" t="n">
        <x:v>0.1988888888888889</x:v>
      </x:c>
      <x:c r="G35" s="35" t="n">
        <x:v>0.21666666666666667</x:v>
      </x:c>
      <x:c r="H35" s="38" t="n">
        <x:v>-0.5067612178363137</x:v>
      </x:c>
      <x:c r="I35" s="34" t="str">
        <x:v>Stable</x:v>
      </x:c>
    </x:row>
    <x:row r="36">
      <x:c r="A36" s="34" t="str">
        <x:v>requested_amount</x:v>
      </x:c>
      <x:c r="B36" s="34" t="str">
        <x:v>(26386371.75, 67482354.25]</x:v>
      </x:c>
      <x:c r="C36" s="35" t="n">
        <x:v>0.5</x:v>
      </x:c>
      <x:c r="D36" s="35" t="n">
        <x:v>0.48791666666666667</x:v>
      </x:c>
      <x:c r="E36" s="38" t="n">
        <x:v>0.0002956002888220233</x:v>
      </x:c>
      <x:c r="F36" s="35" t="n">
        <x:v>0.11361111111111111</x:v>
      </x:c>
      <x:c r="G36" s="35" t="n">
        <x:v>0.11443210930828351</x:v>
      </x:c>
      <x:c r="H36" s="38" t="n">
        <x:v>0.15539101328108193</x:v>
      </x:c>
      <x:c r="I36" s="34" t="str">
        <x:v>Stable</x:v>
      </x:c>
    </x:row>
    <x:row r="37">
      <x:c r="A37" s="34" t="str">
        <x:v>requested_amount</x:v>
      </x:c>
      <x:c r="B37" s="34" t="str">
        <x:v>(67482354.25, 116900394.875]</x:v>
      </x:c>
      <x:c r="C37" s="35" t="n">
        <x:v>0.25</x:v>
      </x:c>
      <x:c r="D37" s="35" t="n">
        <x:v>0.2520833333333333</x:v>
      </x:c>
      <x:c r="E37" s="38" t="n">
        <x:v>0.000017289172530614656</x:v>
      </x:c>
      <x:c r="F37" s="35" t="n">
        <x:v>0.15</x:v>
      </x:c>
      <x:c r="G37" s="35" t="n">
        <x:v>0.14710743801652892</x:v>
      </x:c>
      <x:c r="H37" s="38" t="n">
        <x:v>-0.16484072802297478</x:v>
      </x:c>
      <x:c r="I37" s="34" t="str">
        <x:v>Stable</x:v>
      </x:c>
    </x:row>
    <x:row r="38">
      <x:c r="A38" s="34" t="str">
        <x:v>tenor_months</x:v>
      </x:c>
      <x:c r="B38" s="34" t="str">
        <x:v>(-inf, 9.0]</x:v>
      </x:c>
      <x:c r="C38" s="35" t="n">
        <x:v>0.16305555555555556</x:v>
      </x:c>
      <x:c r="D38" s="35" t="n">
        <x:v>0.14791666666666667</x:v>
      </x:c>
      <x:c r="E38" s="38" t="n">
        <x:v>0.0014751624339794833</x:v>
      </x:c>
      <x:c r="F38" s="35" t="n">
        <x:v>0.14480408858603067</x:v>
      </x:c>
      <x:c r="G38" s="35" t="n">
        <x:v>0.1295774647887324</x:v>
      </x:c>
      <x:c r="H38" s="38" t="n">
        <x:v>-0.12486131212762624</x:v>
      </x:c>
      <x:c r="I38" s="34" t="str">
        <x:v>Stable</x:v>
      </x:c>
    </x:row>
    <x:row r="39">
      <x:c r="A39" s="34" t="str">
        <x:v>tenor_months</x:v>
      </x:c>
      <x:c r="B39" s="34" t="str">
        <x:v>(24.0, inf]</x:v>
      </x:c>
      <x:c r="C39" s="35" t="n">
        <x:v>0.12013888888888889</x:v>
      </x:c>
      <x:c r="D39" s="35" t="n">
        <x:v>0.12416666666666666</x:v>
      </x:c>
      <x:c r="E39" s="38" t="n">
        <x:v>0.0001328210804176948</x:v>
      </x:c>
      <x:c r="F39" s="35" t="n">
        <x:v>0.11445086705202312</x:v>
      </x:c>
      <x:c r="G39" s="35" t="n">
        <x:v>0.13758389261744966</x:v>
      </x:c>
      <x:c r="H39" s="38" t="n">
        <x:v>0.14330585448827787</x:v>
      </x:c>
      <x:c r="I39" s="34" t="str">
        <x:v>Stable</x:v>
      </x:c>
    </x:row>
    <x:row r="40">
      <x:c r="A40" s="34" t="str">
        <x:v>tenor_months</x:v>
      </x:c>
      <x:c r="B40" s="34" t="str">
        <x:v>(9.0, 24.0]</x:v>
      </x:c>
      <x:c r="C40" s="35" t="n">
        <x:v>0.7168055555555556</x:v>
      </x:c>
      <x:c r="D40" s="35" t="n">
        <x:v>0.7279166666666667</x:v>
      </x:c>
      <x:c r="E40" s="38" t="n">
        <x:v>0.0001709106739271003</x:v>
      </x:c>
      <x:c r="F40" s="35" t="n">
        <x:v>0.12943228056578182</x:v>
      </x:c>
      <x:c r="G40" s="35" t="n">
        <x:v>0.13222667429879795</x:v>
      </x:c>
      <x:c r="H40" s="38" t="n">
        <x:v>0.006979590897386309</x:v>
      </x:c>
      <x:c r="I40" s="34" t="str">
        <x:v>Stable</x:v>
      </x:c>
    </x:row>
    <x:row r="41">
      <x:c r="A41" s="34" t="str">
        <x:v>inquiries_6m</x:v>
      </x:c>
      <x:c r="B41" s="34" t="str">
        <x:v>(-inf, 1.0]</x:v>
      </x:c>
      <x:c r="C41" s="35" t="n">
        <x:v>0.6663888888888889</x:v>
      </x:c>
      <x:c r="D41" s="35" t="n">
        <x:v>0.63375</x:v>
      </x:c>
      <x:c r="E41" s="38" t="n">
        <x:v>0.0016390878723577446</x:v>
      </x:c>
      <x:c r="F41" s="35" t="n">
        <x:v>0.11213005418924551</x:v>
      </x:c>
      <x:c r="G41" s="35" t="n">
        <x:v>0.12557527942143326</x:v>
      </x:c>
      <x:c r="H41" s="38" t="n">
        <x:v>0.17043591854966167</x:v>
      </x:c>
      <x:c r="I41" s="34" t="str">
        <x:v>Stable</x:v>
      </x:c>
    </x:row>
    <x:row r="42">
      <x:c r="A42" s="34" t="str">
        <x:v>inquiries_6m</x:v>
      </x:c>
      <x:c r="B42" s="34" t="str">
        <x:v>(1.0, 2.0]</x:v>
      </x:c>
      <x:c r="C42" s="35" t="n">
        <x:v>0.20847222222222223</x:v>
      </x:c>
      <x:c r="D42" s="35" t="n">
        <x:v>0.23458333333333334</x:v>
      </x:c>
      <x:c r="E42" s="38" t="n">
        <x:v>0.0030812438906632714</x:v>
      </x:c>
      <x:c r="F42" s="35" t="n">
        <x:v>0.15056628914057296</x:v>
      </x:c>
      <x:c r="G42" s="35" t="n">
        <x:v>0.13676731793960922</x:v>
      </x:c>
      <x:c r="H42" s="38" t="n">
        <x:v>-0.1695697954631284</x:v>
      </x:c>
      <x:c r="I42" s="34" t="str">
        <x:v>Stable</x:v>
      </x:c>
    </x:row>
    <x:row r="43">
      <x:c r="A43" s="34" t="str">
        <x:v>inquiries_6m</x:v>
      </x:c>
      <x:c r="B43" s="34" t="str">
        <x:v>(2.0, 3.0]</x:v>
      </x:c>
      <x:c r="C43" s="35" t="n">
        <x:v>0.0901388888888889</x:v>
      </x:c>
      <x:c r="D43" s="35" t="n">
        <x:v>0.09166666666666666</x:v>
      </x:c>
      <x:c r="E43" s="38" t="n">
        <x:v>0.000025677541872248852</x:v>
      </x:c>
      <x:c r="F43" s="35" t="n">
        <x:v>0.18335901386748846</x:v>
      </x:c>
      <x:c r="G43" s="35" t="n">
        <x:v>0.15454545454545454</x:v>
      </x:c>
      <x:c r="H43" s="38" t="n">
        <x:v>-0.40741480143943326</x:v>
      </x:c>
      <x:c r="I43" s="34" t="str">
        <x:v>Stable</x:v>
      </x:c>
    </x:row>
    <x:row r="44">
      <x:c r="A44" s="34" t="str">
        <x:v>inquiries_6m</x:v>
      </x:c>
      <x:c r="B44" s="34" t="str">
        <x:v>(3.0, inf]</x:v>
      </x:c>
      <x:c r="C44" s="35" t="n">
        <x:v>0.035</x:v>
      </x:c>
      <x:c r="D44" s="35" t="n">
        <x:v>0.04</x:v>
      </x:c>
      <x:c r="E44" s="38" t="n">
        <x:v>0.0006676569631226126</x:v>
      </x:c>
      <x:c r="F44" s="35" t="n">
        <x:v>0.21428571428571427</x:v>
      </x:c>
      <x:c r="G44" s="35" t="n">
        <x:v>0.16666666666666666</x:v>
      </x:c>
      <x:c r="H44" s="38" t="n">
        <x:v>-0.6053299896638592</x:v>
      </x:c>
      <x:c r="I44" s="34" t="str">
        <x:v>Stable</x:v>
      </x:c>
    </x:row>
    <x:row r="45">
      <x:c r="A45" s="34" t="str">
        <x:v>employment_type</x:v>
      </x:c>
      <x:c r="B45" s="34" t="str">
        <x:v>Contract</x:v>
      </x:c>
      <x:c r="C45" s="35" t="n">
        <x:v>0.13152777777777777</x:v>
      </x:c>
      <x:c r="D45" s="35" t="n">
        <x:v>0.13375</x:v>
      </x:c>
      <x:c r="E45" s="38" t="n">
        <x:v>0.000037231819137883286</x:v>
      </x:c>
      <x:c r="F45" s="35" t="n">
        <x:v>0.146779303062302</x:v>
      </x:c>
      <x:c r="G45" s="35" t="n">
        <x:v>0.1838006230529595</x:v>
      </x:c>
      <x:c r="H45" s="38" t="n">
        <x:v>-0.14125512190330275</x:v>
      </x:c>
      <x:c r="I45" s="34" t="str">
        <x:v>Stable</x:v>
      </x:c>
    </x:row>
    <x:row r="46">
      <x:c r="A46" s="34" t="str">
        <x:v>employment_type</x:v>
      </x:c>
      <x:c r="B46" s="34" t="str">
        <x:v>Salaried</x:v>
      </x:c>
      <x:c r="C46" s="35" t="n">
        <x:v>0.64125</x:v>
      </x:c>
      <x:c r="D46" s="35" t="n">
        <x:v>0.6266666666666667</x:v>
      </x:c>
      <x:c r="E46" s="38" t="n">
        <x:v>0.00033548417771595343</x:v>
      </x:c>
      <x:c r="F46" s="35" t="n">
        <x:v>0.12150747238466536</x:v>
      </x:c>
      <x:c r="G46" s="35" t="n">
        <x:v>0.1163563829787234</x:v>
      </x:c>
      <x:c r="H46" s="38" t="n">
        <x:v>0.07909283799757796</x:v>
      </x:c>
      <x:c r="I46" s="34" t="str">
        <x:v>Stable</x:v>
      </x:c>
    </x:row>
    <x:row r="47">
      <x:c r="A47" s="34" t="str">
        <x:v>employment_type</x:v>
      </x:c>
      <x:c r="B47" s="34" t="str">
        <x:v>Self-employed</x:v>
      </x:c>
      <x:c r="C47" s="35" t="n">
        <x:v>0.22722222222222221</x:v>
      </x:c>
      <x:c r="D47" s="35" t="n">
        <x:v>0.23958333333333334</x:v>
      </x:c>
      <x:c r="E47" s="38" t="n">
        <x:v>0.0006548028187425468</x:v>
      </x:c>
      <x:c r="F47" s="35" t="n">
        <x:v>0.14486552567237163</x:v>
      </x:c>
      <x:c r="G47" s="35" t="n">
        <x:v>0.14608695652173914</x:v>
      </x:c>
      <x:c r="H47" s="38" t="n">
        <x:v>-0.12466851417823165</x:v>
      </x:c>
      <x:c r="I47" s="34" t="str">
        <x:v>Stable</x:v>
      </x:c>
    </x:row>
    <x:row r="48">
      <x:c r="A48" s="34" t="str">
        <x:v>home_ownership</x:v>
      </x:c>
      <x:c r="B48" s="34" t="str">
        <x:v>Family</x:v>
      </x:c>
      <x:c r="C48" s="35" t="n">
        <x:v>0.19819444444444445</x:v>
      </x:c>
      <x:c r="D48" s="35" t="n">
        <x:v>0.18416666666666667</x:v>
      </x:c>
      <x:c r="E48" s="38" t="n">
        <x:v>0.0010297433499769288</x:v>
      </x:c>
      <x:c r="F48" s="35" t="n">
        <x:v>0.10861948142957253</x:v>
      </x:c>
      <x:c r="G48" s="35" t="n">
        <x:v>0.11312217194570136</x:v>
      </x:c>
      <x:c r="H48" s="38" t="n">
        <x:v>0.2041746286834832</x:v>
      </x:c>
      <x:c r="I48" s="34" t="str">
        <x:v>Stable</x:v>
      </x:c>
    </x:row>
    <x:row r="49">
      <x:c r="A49" s="34" t="str">
        <x:v>home_ownership</x:v>
      </x:c>
      <x:c r="B49" s="34" t="str">
        <x:v>Mortgage</x:v>
      </x:c>
      <x:c r="C49" s="35" t="n">
        <x:v>0.1827777777777778</x:v>
      </x:c>
      <x:c r="D49" s="35" t="n">
        <x:v>0.18333333333333332</x:v>
      </x:c>
      <x:c r="E49" s="38" t="n">
        <x:v>0.0000016860576084187542</x:v>
      </x:c>
      <x:c r="F49" s="35" t="n">
        <x:v>0.12993920972644377</x:v>
      </x:c>
      <x:c r="G49" s="35" t="n">
        <x:v>0.09090909090909091</x:v>
      </x:c>
      <x:c r="H49" s="38" t="n">
        <x:v>0.0010948471656498735</x:v>
      </x:c>
      <x:c r="I49" s="34" t="str">
        <x:v>Stable</x:v>
      </x:c>
    </x:row>
    <x:row r="50">
      <x:c r="A50" s="34" t="str">
        <x:v>home_ownership</x:v>
      </x:c>
      <x:c r="B50" s="34" t="str">
        <x:v>Owned</x:v>
      </x:c>
      <x:c r="C50" s="35" t="n">
        <x:v>0.25805555555555554</x:v>
      </x:c>
      <x:c r="D50" s="35" t="n">
        <x:v>0.2579166666666667</x:v>
      </x:c>
      <x:c r="E50" s="38" t="n">
        <x:v>7.477194737191583e-8</x:v>
      </x:c>
      <x:c r="F50" s="35" t="n">
        <x:v>0.12055974165769645</x:v>
      </x:c>
      <x:c r="G50" s="35" t="n">
        <x:v>0.13408723747980614</x:v>
      </x:c>
      <x:c r="H50" s="38" t="n">
        <x:v>0.08729813086005052</x:v>
      </x:c>
      <x:c r="I50" s="34" t="str">
        <x:v>Stable</x:v>
      </x:c>
    </x:row>
    <x:row r="51">
      <x:c r="A51" s="34" t="str">
        <x:v>home_ownership</x:v>
      </x:c>
      <x:c r="B51" s="34" t="str">
        <x:v>Rented</x:v>
      </x:c>
      <x:c r="C51" s="35" t="n">
        <x:v>0.36097222222222225</x:v>
      </x:c>
      <x:c r="D51" s="35" t="n">
        <x:v>0.3745833333333333</x:v>
      </x:c>
      <x:c r="E51" s="38" t="n">
        <x:v>0.000503791982337149</x:v>
      </x:c>
      <x:c r="F51" s="35" t="n">
        <x:v>0.1489034243939977</x:v>
      </x:c>
      <x:c r="G51" s="35" t="n">
        <x:v>0.16129032258064516</x:v>
      </x:c>
      <x:c r="H51" s="38" t="n">
        <x:v>-0.15575586003322292</x:v>
      </x:c>
      <x:c r="I51" s="34" t="str">
        <x:v>Stable</x:v>
      </x:c>
    </x:row>
    <x:row r="52">
      <x:c r="A52" s="34" t="str">
        <x:v>channel</x:v>
      </x:c>
      <x:c r="B52" s="34" t="str">
        <x:v>Branch</x:v>
      </x:c>
      <x:c r="C52" s="35" t="n">
        <x:v>0.16208333333333333</x:v>
      </x:c>
      <x:c r="D52" s="35" t="n">
        <x:v>0.17166666666666666</x:v>
      </x:c>
      <x:c r="E52" s="38" t="n">
        <x:v>0.0005505050549228512</x:v>
      </x:c>
      <x:c r="F52" s="35" t="n">
        <x:v>0.11482433590402742</x:v>
      </x:c>
      <x:c r="G52" s="35" t="n">
        <x:v>0.11650485436893204</x:v>
      </x:c>
      <x:c r="H52" s="38" t="n">
        <x:v>0.14077098042088534</x:v>
      </x:c>
      <x:c r="I52" s="34" t="str">
        <x:v>Stable</x:v>
      </x:c>
    </x:row>
    <x:row r="53">
      <x:c r="A53" s="34" t="str">
        <x:v>channel</x:v>
      </x:c>
      <x:c r="B53" s="34" t="str">
        <x:v>Mobile</x:v>
      </x:c>
      <x:c r="C53" s="35" t="n">
        <x:v>0.5945833333333334</x:v>
      </x:c>
      <x:c r="D53" s="35" t="n">
        <x:v>0.5816666666666667</x:v>
      </x:c>
      <x:c r="E53" s="38" t="n">
        <x:v>0.0002836930661625332</x:v>
      </x:c>
      <x:c r="F53" s="35" t="n">
        <x:v>0.12754029432375613</x:v>
      </x:c>
      <x:c r="G53" s="35" t="n">
        <x:v>0.12392550143266476</x:v>
      </x:c>
      <x:c r="H53" s="38" t="n">
        <x:v>0.023731450140218883</x:v>
      </x:c>
      <x:c r="I53" s="34" t="str">
        <x:v>Stable</x:v>
      </x:c>
    </x:row>
    <x:row r="54">
      <x:c r="A54" s="36" t="str">
        <x:v>channel</x:v>
      </x:c>
      <x:c r="B54" s="36" t="str">
        <x:v>Partner</x:v>
      </x:c>
      <x:c r="C54" s="37" t="n">
        <x:v>0.24333333333333335</x:v>
      </x:c>
      <x:c r="D54" s="37" t="n">
        <x:v>0.24666666666666667</x:v>
      </x:c>
      <x:c r="E54" s="39" t="n">
        <x:v>0.00004535217351926217</x:v>
      </x:c>
      <x:c r="F54" s="37" t="n">
        <x:v>0.146689497716895</x:v>
      </x:c>
      <x:c r="G54" s="37" t="n">
        <x:v>0.16385135135135134</x:v>
      </x:c>
      <x:c r="H54" s="39" t="n">
        <x:v>-0.13917504169283199</x:v>
      </x:c>
      <x:c r="I54" s="36" t="str">
        <x:v>Stable</x:v>
      </x:c>
    </x:row>
  </x:sheetData>
  <x:mergeCells>
    <x:mergeCell ref="A2:I2"/>
    <x:mergeCell ref="A3:I3"/>
  </x:mergeCells>
  <x:conditionalFormatting sqref="I7:I54">
    <x:cfRule type="containsText" dxfId="6" priority="1" operator="containsText" text="Investig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80000686645508" hidden="0" customWidth="1"/>
    <x:col min="2" max="2" width="11.670000076293945" hidden="0" customWidth="1"/>
    <x:col min="3" max="3" width="11.220000267028809" hidden="0" customWidth="1"/>
  </x:cols>
  <x:sheetData>
    <x:row r="2">
      <x:c r="A2" s="29" t="str">
        <x:v>Scorecard Reconstruction Control</x:v>
      </x:c>
      <x:c r="B2" s="30"/>
      <x:c r="C2" s="30"/>
    </x:row>
    <x:row r="3">
      <x:c r="A3" s="31" t="str">
        <x:v>Model PD, WOE-logit PD and score-implied PD must reconcile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Control</x:v>
      </x:c>
      <x:c r="B6" s="59" t="str">
        <x:v>Result</x:v>
      </x:c>
      <x:c r="C6" s="59" t="str">
        <x:v>Limit / status</x:v>
      </x:c>
    </x:row>
    <x:row r="7">
      <x:c r="A7" s="34" t="str">
        <x:v>Sample size</x:v>
      </x:c>
      <x:c r="B7" s="84" t="n">
        <x:v>250</x:v>
      </x:c>
      <x:c r="C7" s="85" t="str">
        <x:v>250 applications</x:v>
      </x:c>
    </x:row>
    <x:row r="8">
      <x:c r="A8" s="34" t="str">
        <x:v>Maximum model vs logit PD gap</x:v>
      </x:c>
      <x:c r="B8" s="84" t="n">
        <x:v>5.551115123125783e-17</x:v>
      </x:c>
      <x:c r="C8" s="85" t="n">
        <x:v>0.000001</x:v>
      </x:c>
    </x:row>
    <x:row r="9">
      <x:c r="A9" s="34" t="str">
        <x:v>Maximum score-to-PD gap</x:v>
      </x:c>
      <x:c r="B9" s="84" t="n">
        <x:v>1.6653345369377348e-16</x:v>
      </x:c>
      <x:c r="C9" s="85" t="n">
        <x:v>0.000001</x:v>
      </x:c>
    </x:row>
    <x:row r="10">
      <x:c r="A10" s="36" t="str">
        <x:v>Overall status</x:v>
      </x:c>
      <x:c r="B10" s="86" t="str">
        <x:v>PASS</x:v>
      </x:c>
      <x:c r="C10" s="87" t="str">
        <x:v>PASS required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14.779999732971191" hidden="0" customWidth="1"/>
    <x:col min="3" max="3" width="16.670000076293945" hidden="0" customWidth="1"/>
  </x:cols>
  <x:sheetData>
    <x:row r="2">
      <x:c r="A2" s="29" t="str">
        <x:v>Credit Policy Controls</x:v>
      </x:c>
      <x:c r="B2" s="30"/>
      <x:c r="C2" s="30"/>
    </x:row>
    <x:row r="3">
      <x:c r="A3" s="31" t="str">
        <x:v>Policy thresholds are versioned separately from the model</x:v>
      </x:c>
      <x:c r="B3" s="30"/>
      <x:c r="C3" s="30"/>
    </x:row>
    <x:row r="4" ht="3" customHeight="1">
      <x:c r="A4" s="83"/>
      <x:c r="B4" s="83"/>
      <x:c r="C4" s="83"/>
    </x:row>
    <x:row r="5">
      <x:c r="A5" s="30"/>
      <x:c r="B5" s="30"/>
      <x:c r="C5" s="30"/>
    </x:row>
    <x:row r="6">
      <x:c r="A6" s="59" t="str">
        <x:v>Policy field</x:v>
      </x:c>
      <x:c r="B6" s="59" t="str">
        <x:v>Value</x:v>
      </x:c>
      <x:c r="C6" s="59" t="str">
        <x:v>Control purpose</x:v>
      </x:c>
    </x:row>
    <x:row r="7">
      <x:c r="A7" s="34" t="str">
        <x:v>Policy version</x:v>
      </x:c>
      <x:c r="B7" s="46" t="str">
        <x:v>RETAIL_POLICY_1.0</x:v>
      </x:c>
      <x:c r="C7" s="34" t="str">
        <x:v>Decision reproducibility</x:v>
      </x:c>
    </x:row>
    <x:row r="8">
      <x:c r="A8" s="34" t="str">
        <x:v>Effective date</x:v>
      </x:c>
      <x:c r="B8" s="46" t="str">
        <x:v>2026-09-23</x:v>
      </x:c>
      <x:c r="C8" s="34" t="str">
        <x:v>Change control</x:v>
      </x:c>
    </x:row>
    <x:row r="9">
      <x:c r="A9" s="34" t="str">
        <x:v>Approve PD maximum</x:v>
      </x:c>
      <x:c r="B9" s="35" t="n">
        <x:v>0.1</x:v>
      </x:c>
      <x:c r="C9" s="34" t="str">
        <x:v>Auto-approval boundary</x:v>
      </x:c>
    </x:row>
    <x:row r="10">
      <x:c r="A10" s="34" t="str">
        <x:v>Review PD maximum</x:v>
      </x:c>
      <x:c r="B10" s="35" t="n">
        <x:v>0.18</x:v>
      </x:c>
      <x:c r="C10" s="34" t="str">
        <x:v>Manual-review boundary</x:v>
      </x:c>
    </x:row>
    <x:row r="11">
      <x:c r="A11" s="34" t="str">
        <x:v>Maximum DTI</x:v>
      </x:c>
      <x:c r="B11" s="35" t="n">
        <x:v>0.65</x:v>
      </x:c>
      <x:c r="C11" s="34" t="str">
        <x:v>Affordability</x:v>
      </x:c>
    </x:row>
    <x:row r="12">
      <x:c r="A12" s="34" t="str">
        <x:v>Minimum income</x:v>
      </x:c>
      <x:c r="B12" s="46" t="n">
        <x:v>5000000</x:v>
      </x:c>
      <x:c r="C12" s="34" t="str">
        <x:v>Eligibility</x:v>
      </x:c>
    </x:row>
    <x:row r="13">
      <x:c r="A13" s="34" t="str">
        <x:v>Maximum tenor</x:v>
      </x:c>
      <x:c r="B13" s="46" t="n">
        <x:v>36</x:v>
      </x:c>
      <x:c r="C13" s="34" t="str">
        <x:v>Product control</x:v>
      </x:c>
    </x:row>
    <x:row r="14">
      <x:c r="A14" s="34" t="str">
        <x:v>LGD</x:v>
      </x:c>
      <x:c r="B14" s="35" t="n">
        <x:v>0.65</x:v>
      </x:c>
      <x:c r="C14" s="34" t="str">
        <x:v>Expected loss</x:v>
      </x:c>
    </x:row>
    <x:row r="15">
      <x:c r="A15" s="34" t="str">
        <x:v>Funding cost</x:v>
      </x:c>
      <x:c r="B15" s="35" t="n">
        <x:v>0.07</x:v>
      </x:c>
      <x:c r="C15" s="34" t="str">
        <x:v>Pricing</x:v>
      </x:c>
    </x:row>
    <x:row r="16">
      <x:c r="A16" s="36" t="str">
        <x:v>Operating cost</x:v>
      </x:c>
      <x:c r="B16" s="47" t="n">
        <x:v>350000</x:v>
      </x:c>
      <x:c r="C16" s="36" t="str">
        <x:v>Profitability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6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 ht="25" customHeight="1">
      <x:c r="A2" s="88" t="str">
        <x:v>V5 Decision &amp; Profitability Summary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Walk-forward validation, portfolio economics, stress testing and policy simulation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Metric</x:v>
      </x:c>
      <x:c r="B6" s="95" t="str">
        <x:v>Result</x:v>
      </x:c>
      <x:c r="D6" s="95" t="str">
        <x:v>Management conclusion</x:v>
      </x:c>
    </x:row>
    <x:row r="7" ht="82" customHeight="1">
      <x:c r="A7" s="98" t="str">
        <x:v>Build</x:v>
      </x:c>
      <x:c r="B7" s="98" t="str">
        <x:v>V5.0</x:v>
      </x:c>
      <x:c r="D7" s="107" t="str">
        <x:v>The WOE logistic model remains the champion because the challenger does not deliver the required 0.02 mean-AUC uplift. The simulated candidate strategy increases controlled approvals while keeping observed bad rate below 10%. Severe-stress profitability remains positive in the synthetic portfolio.</x:v>
      </x:c>
    </x:row>
    <x:row r="8">
      <x:c r="A8" s="99" t="str">
        <x:v>Validation status</x:v>
      </x:c>
      <x:c r="B8" s="99" t="str">
        <x:v>PASS</x:v>
      </x:c>
    </x:row>
    <x:row r="9">
      <x:c r="A9" s="99" t="str">
        <x:v>Champion mean AUC</x:v>
      </x:c>
      <x:c r="B9" s="101" t="n">
        <x:v>0.6786611211719855</x:v>
      </x:c>
    </x:row>
    <x:row r="10">
      <x:c r="A10" s="99" t="str">
        <x:v>Challenger mean AUC</x:v>
      </x:c>
      <x:c r="B10" s="101" t="n">
        <x:v>0.6693159031999618</x:v>
      </x:c>
    </x:row>
    <x:row r="11">
      <x:c r="A11" s="99" t="str">
        <x:v>Challenger decision</x:v>
      </x:c>
      <x:c r="B11" s="99" t="str">
        <x:v>RETAIN CHAMPION</x:v>
      </x:c>
    </x:row>
    <x:row r="12">
      <x:c r="A12" s="99" t="str">
        <x:v>Recommended approve PD max</x:v>
      </x:c>
      <x:c r="B12" s="102" t="n">
        <x:v>0.13</x:v>
      </x:c>
    </x:row>
    <x:row r="13" ht="30" customHeight="1">
      <x:c r="A13" s="99" t="str">
        <x:v>Recommended review PD max</x:v>
      </x:c>
      <x:c r="B13" s="102" t="n">
        <x:v>0.17</x:v>
      </x:c>
      <x:c r="D13" s="95" t="str">
        <x:v>Required before real deployment</x:v>
      </x:c>
    </x:row>
    <x:row r="14" ht="72" customHeight="1">
      <x:c r="A14" s="99" t="str">
        <x:v>Approval rate</x:v>
      </x:c>
      <x:c r="B14" s="102" t="n">
        <x:v>0.5745833333333333</x:v>
      </x:c>
      <x:c r="D14" s="111" t="str">
        <x:v>Validate on bank data; approve assumptions and cut-offs through Credit Committee; connect managed identity and database services; complete pilot, concurrency, security and penetration tests.</x:v>
      </x:c>
    </x:row>
    <x:row r="15">
      <x:c r="A15" s="99" t="str">
        <x:v>Observed bad rate</x:v>
      </x:c>
      <x:c r="B15" s="102" t="n">
        <x:v>0.0775924583031182</x:v>
      </x:c>
    </x:row>
    <x:row r="16">
      <x:c r="A16" s="100" t="str">
        <x:v>Expected profit</x:v>
      </x:c>
      <x:c r="B16" s="103" t="n">
        <x:v>8782580131.857252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29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 ht="25" customHeight="1">
      <x:c r="A2" s="88" t="str">
        <x:v>Chronological Walk-Forward Validation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Four expanding training windows; champion and challenger tested on the next unseen period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Fold</x:v>
      </x:c>
      <x:c r="B6" s="95" t="str">
        <x:v>Model</x:v>
      </x:c>
      <x:c r="C6" s="95" t="str">
        <x:v>Train end</x:v>
      </x:c>
      <x:c r="D6" s="95" t="str">
        <x:v>Test start</x:v>
      </x:c>
      <x:c r="E6" s="95" t="str">
        <x:v>Test end</x:v>
      </x:c>
      <x:c r="F6" s="95" t="str">
        <x:v>Applications</x:v>
      </x:c>
      <x:c r="G6" s="95" t="str">
        <x:v>AUC</x:v>
      </x:c>
      <x:c r="H6" s="95" t="str">
        <x:v>Gini</x:v>
      </x:c>
      <x:c r="I6" s="95" t="str">
        <x:v>KS</x:v>
      </x:c>
      <x:c r="J6" s="95" t="str">
        <x:v>Brier</x:v>
      </x:c>
    </x:row>
    <x:row r="7">
      <x:c r="A7" s="98" t="str">
        <x:v>Fold 1</x:v>
      </x:c>
      <x:c r="B7" s="98" t="str">
        <x:v>WOE logistic champion</x:v>
      </x:c>
      <x:c r="C7" s="98" t="str">
        <x:v>2024-08-12</x:v>
      </x:c>
      <x:c r="D7" s="98" t="str">
        <x:v>2024-08-13</x:v>
      </x:c>
      <x:c r="E7" s="98" t="str">
        <x:v>2024-10-16</x:v>
      </x:c>
      <x:c r="F7" s="98" t="n">
        <x:v>1559</x:v>
      </x:c>
      <x:c r="G7" s="112" t="n">
        <x:v>0.6851640179075169</x:v>
      </x:c>
      <x:c r="H7" s="112" t="n">
        <x:v>0.3703280358150338</x:v>
      </x:c>
      <x:c r="I7" s="112" t="n">
        <x:v>0.3018376453520321</x:v>
      </x:c>
      <x:c r="J7" s="112" t="n">
        <x:v>0.1064890840134878</x:v>
      </x:c>
    </x:row>
    <x:row r="8">
      <x:c r="A8" s="99" t="str">
        <x:v>Fold 1</x:v>
      </x:c>
      <x:c r="B8" s="99" t="str">
        <x:v>Gradient boosting challenger</x:v>
      </x:c>
      <x:c r="C8" s="99" t="str">
        <x:v>2024-08-12</x:v>
      </x:c>
      <x:c r="D8" s="99" t="str">
        <x:v>2024-08-13</x:v>
      </x:c>
      <x:c r="E8" s="99" t="str">
        <x:v>2024-10-16</x:v>
      </x:c>
      <x:c r="F8" s="99" t="n">
        <x:v>1559</x:v>
      </x:c>
      <x:c r="G8" s="101" t="n">
        <x:v>0.6613105312905283</x:v>
      </x:c>
      <x:c r="H8" s="101" t="n">
        <x:v>0.3226210625810566</x:v>
      </x:c>
      <x:c r="I8" s="101" t="n">
        <x:v>0.25273118941375594</x:v>
      </x:c>
      <x:c r="J8" s="101" t="n">
        <x:v>0.10923753489050173</x:v>
      </x:c>
    </x:row>
    <x:row r="9">
      <x:c r="A9" s="99" t="str">
        <x:v>Fold 2</x:v>
      </x:c>
      <x:c r="B9" s="99" t="str">
        <x:v>WOE logistic champion</x:v>
      </x:c>
      <x:c r="C9" s="99" t="str">
        <x:v>2024-10-16</x:v>
      </x:c>
      <x:c r="D9" s="99" t="str">
        <x:v>2024-10-16</x:v>
      </x:c>
      <x:c r="E9" s="99" t="str">
        <x:v>2024-12-20</x:v>
      </x:c>
      <x:c r="F9" s="99" t="n">
        <x:v>1561</x:v>
      </x:c>
      <x:c r="G9" s="101" t="n">
        <x:v>0.6665893229728758</x:v>
      </x:c>
      <x:c r="H9" s="101" t="n">
        <x:v>0.33317864594575153</x:v>
      </x:c>
      <x:c r="I9" s="101" t="n">
        <x:v>0.26239657529318655</x:v>
      </x:c>
      <x:c r="J9" s="101" t="n">
        <x:v>0.10946518319463668</x:v>
      </x:c>
    </x:row>
    <x:row r="10">
      <x:c r="A10" s="99" t="str">
        <x:v>Fold 2</x:v>
      </x:c>
      <x:c r="B10" s="99" t="str">
        <x:v>Gradient boosting challenger</x:v>
      </x:c>
      <x:c r="C10" s="99" t="str">
        <x:v>2024-10-16</x:v>
      </x:c>
      <x:c r="D10" s="99" t="str">
        <x:v>2024-10-16</x:v>
      </x:c>
      <x:c r="E10" s="99" t="str">
        <x:v>2024-12-20</x:v>
      </x:c>
      <x:c r="F10" s="99" t="n">
        <x:v>1561</x:v>
      </x:c>
      <x:c r="G10" s="101" t="n">
        <x:v>0.6524749982013095</x:v>
      </x:c>
      <x:c r="H10" s="101" t="n">
        <x:v>0.304949996402619</x:v>
      </x:c>
      <x:c r="I10" s="101" t="n">
        <x:v>0.24696381034606807</x:v>
      </x:c>
      <x:c r="J10" s="101" t="n">
        <x:v>0.11021896084662673</x:v>
      </x:c>
    </x:row>
    <x:row r="11">
      <x:c r="A11" s="99" t="str">
        <x:v>Fold 3</x:v>
      </x:c>
      <x:c r="B11" s="99" t="str">
        <x:v>WOE logistic champion</x:v>
      </x:c>
      <x:c r="C11" s="99" t="str">
        <x:v>2024-12-20</x:v>
      </x:c>
      <x:c r="D11" s="99" t="str">
        <x:v>2024-12-21</x:v>
      </x:c>
      <x:c r="E11" s="99" t="str">
        <x:v>2025-02-23</x:v>
      </x:c>
      <x:c r="F11" s="99" t="n">
        <x:v>1560</x:v>
      </x:c>
      <x:c r="G11" s="101" t="n">
        <x:v>0.6827336830063855</x:v>
      </x:c>
      <x:c r="H11" s="101" t="n">
        <x:v>0.36546736601277097</x:v>
      </x:c>
      <x:c r="I11" s="101" t="n">
        <x:v>0.2865430179310735</x:v>
      </x:c>
      <x:c r="J11" s="101" t="n">
        <x:v>0.10867185669486999</x:v>
      </x:c>
    </x:row>
    <x:row r="12">
      <x:c r="A12" s="99" t="str">
        <x:v>Fold 3</x:v>
      </x:c>
      <x:c r="B12" s="99" t="str">
        <x:v>Gradient boosting challenger</x:v>
      </x:c>
      <x:c r="C12" s="99" t="str">
        <x:v>2024-12-20</x:v>
      </x:c>
      <x:c r="D12" s="99" t="str">
        <x:v>2024-12-21</x:v>
      </x:c>
      <x:c r="E12" s="99" t="str">
        <x:v>2025-02-23</x:v>
      </x:c>
      <x:c r="F12" s="99" t="n">
        <x:v>1560</x:v>
      </x:c>
      <x:c r="G12" s="101" t="n">
        <x:v>0.6781862805860623</x:v>
      </x:c>
      <x:c r="H12" s="101" t="n">
        <x:v>0.3563725611721247</x:v>
      </x:c>
      <x:c r="I12" s="101" t="n">
        <x:v>0.2653961800403033</x:v>
      </x:c>
      <x:c r="J12" s="101" t="n">
        <x:v>0.11029760033349177</x:v>
      </x:c>
    </x:row>
    <x:row r="13">
      <x:c r="A13" s="99" t="str">
        <x:v>Fold 4</x:v>
      </x:c>
      <x:c r="B13" s="99" t="str">
        <x:v>WOE logistic champion</x:v>
      </x:c>
      <x:c r="C13" s="99" t="str">
        <x:v>2025-02-23</x:v>
      </x:c>
      <x:c r="D13" s="99" t="str">
        <x:v>2025-02-24</x:v>
      </x:c>
      <x:c r="E13" s="99" t="str">
        <x:v>2025-05-14</x:v>
      </x:c>
      <x:c r="F13" s="99" t="n">
        <x:v>1920</x:v>
      </x:c>
      <x:c r="G13" s="101" t="n">
        <x:v>0.6801574608011639</x:v>
      </x:c>
      <x:c r="H13" s="101" t="n">
        <x:v>0.3603149216023278</x:v>
      </x:c>
      <x:c r="I13" s="101" t="n">
        <x:v>0.29285827380556273</x:v>
      </x:c>
      <x:c r="J13" s="101" t="n">
        <x:v>0.11204268449159385</x:v>
      </x:c>
    </x:row>
    <x:row r="14">
      <x:c r="A14" s="100" t="str">
        <x:v>Fold 4</x:v>
      </x:c>
      <x:c r="B14" s="100" t="str">
        <x:v>Gradient boosting challenger</x:v>
      </x:c>
      <x:c r="C14" s="100" t="str">
        <x:v>2025-02-23</x:v>
      </x:c>
      <x:c r="D14" s="100" t="str">
        <x:v>2025-02-24</x:v>
      </x:c>
      <x:c r="E14" s="100" t="str">
        <x:v>2025-05-14</x:v>
      </x:c>
      <x:c r="F14" s="100" t="n">
        <x:v>1920</x:v>
      </x:c>
      <x:c r="G14" s="113" t="n">
        <x:v>0.685291802721947</x:v>
      </x:c>
      <x:c r="H14" s="113" t="n">
        <x:v>0.370583605443894</x:v>
      </x:c>
      <x:c r="I14" s="113" t="n">
        <x:v>0.2788653276455917</x:v>
      </x:c>
      <x:c r="J14" s="113" t="n">
        <x:v>0.11156906649161534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0" max="10" width="14" hidden="0" customWidth="1"/>
  </x:cols>
  <x:sheetData>
    <x:row r="2" ht="25" customHeight="1">
      <x:c r="A2" s="88" t="str">
        <x:v>Decision Strategy Simulator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Edit the blue cells to test approval and review cut-offs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5" ht="30" customHeight="1">
      <x:c r="A5" s="115" t="str">
        <x:v>Approve PD max</x:v>
      </x:c>
      <x:c r="B5" s="119" t="n">
        <x:v>0.1</x:v>
      </x:c>
      <x:c r="D5" s="95" t="str">
        <x:v>Approval rate</x:v>
      </x:c>
      <x:c r="E5" s="95" t="str">
        <x:v>Review rate</x:v>
      </x:c>
      <x:c r="F5" s="95" t="str">
        <x:v>Observed bad rate</x:v>
      </x:c>
      <x:c r="G5" s="95" t="str">
        <x:v>Expected profit</x:v>
      </x:c>
      <x:c r="H5" s="95" t="str">
        <x:v>RAROC</x:v>
      </x:c>
    </x:row>
    <x:row r="6">
      <x:c r="A6" s="115" t="str">
        <x:v>Review PD max</x:v>
      </x:c>
      <x:c r="B6" s="119" t="n">
        <x:v>0.18</x:v>
      </x:c>
      <x:c r="D6" s="130" t="n">
        <x:f>SUMIFS($C$11:$C$48,$A$11:$A$48,$B$5,$B$11:$B$48,$B$6)</x:f>
        <x:v>0.41583333333333333</x:v>
      </x:c>
      <x:c r="E6" s="130" t="n">
        <x:f>SUMIFS($D$11:$D$48,$A$11:$A$48,$B$5,$B$11:$B$48,$B$6)</x:f>
        <x:v>0.3545833333333333</x:v>
      </x:c>
      <x:c r="F6" s="130" t="n">
        <x:f>SUMIFS($E$11:$E$48,$A$11:$A$48,$B$5,$B$11:$B$48,$B$6)</x:f>
        <x:v>0.06513026052104208</x:v>
      </x:c>
      <x:c r="G6" s="131" t="n">
        <x:f>SUMIFS($I$11:$I$48,$A$11:$A$48,$B$5,$B$11:$B$48,$B$6)</x:f>
        <x:v>5577051858.33867</x:v>
      </x:c>
      <x:c r="H6" s="130" t="n">
        <x:f>SUMIFS($J$11:$J$48,$A$11:$A$48,$B$5,$B$11:$B$48,$B$6)</x:f>
        <x:v>1.1495028199678208</x:v>
      </x:c>
    </x:row>
    <x:row r="10" ht="30" customHeight="1">
      <x:c r="A10" s="95" t="str">
        <x:v>Approve PD max</x:v>
      </x:c>
      <x:c r="B10" s="95" t="str">
        <x:v>Review PD max</x:v>
      </x:c>
      <x:c r="C10" s="95" t="str">
        <x:v>Approval rate</x:v>
      </x:c>
      <x:c r="D10" s="95" t="str">
        <x:v>Review rate</x:v>
      </x:c>
      <x:c r="E10" s="95" t="str">
        <x:v>Observed bad rate</x:v>
      </x:c>
      <x:c r="F10" s="95" t="str">
        <x:v>Mean PD</x:v>
      </x:c>
      <x:c r="G10" s="95" t="str">
        <x:v>Total EAD</x:v>
      </x:c>
      <x:c r="H10" s="95" t="str">
        <x:v>Expected loss</x:v>
      </x:c>
      <x:c r="I10" s="95" t="str">
        <x:v>Expected profit</x:v>
      </x:c>
      <x:c r="J10" s="95" t="str">
        <x:v>RAROC</x:v>
      </x:c>
    </x:row>
    <x:row r="11">
      <x:c r="A11" s="120" t="n">
        <x:v>0.06</x:v>
      </x:c>
      <x:c r="B11" s="120" t="n">
        <x:v>0.14</x:v>
      </x:c>
      <x:c r="C11" s="120" t="n">
        <x:v>0.16416666666666666</x:v>
      </x:c>
      <x:c r="D11" s="120" t="n">
        <x:v>0.46</x:v>
      </x:c>
      <x:c r="E11" s="120" t="n">
        <x:v>0.048223350253807105</x:v>
      </x:c>
      <x:c r="F11" s="120" t="n">
        <x:v>0.044902810022063054</x:v>
      </x:c>
      <x:c r="G11" s="122" t="n">
        <x:v>17048881233</x:v>
      </x:c>
      <x:c r="H11" s="122" t="n">
        <x:v>507369630.59048384</x:v>
      </x:c>
      <x:c r="I11" s="122" t="n">
        <x:v>1997746798.037016</x:v>
      </x:c>
      <x:c r="J11" s="120" t="n">
        <x:v>1.1717758900039466</x:v>
      </x:c>
    </x:row>
    <x:row r="12">
      <x:c r="A12" s="102" t="n">
        <x:v>0.06</x:v>
      </x:c>
      <x:c r="B12" s="102" t="n">
        <x:v>0.16</x:v>
      </x:c>
      <x:c r="C12" s="102" t="n">
        <x:v>0.16416666666666666</x:v>
      </x:c>
      <x:c r="D12" s="102" t="n">
        <x:v>0.5379166666666667</x:v>
      </x:c>
      <x:c r="E12" s="102" t="n">
        <x:v>0.048223350253807105</x:v>
      </x:c>
      <x:c r="F12" s="102" t="n">
        <x:v>0.044902810022063054</x:v>
      </x:c>
      <x:c r="G12" s="123" t="n">
        <x:v>17048881233</x:v>
      </x:c>
      <x:c r="H12" s="123" t="n">
        <x:v>507369630.59048384</x:v>
      </x:c>
      <x:c r="I12" s="123" t="n">
        <x:v>1997746798.037016</x:v>
      </x:c>
      <x:c r="J12" s="102" t="n">
        <x:v>1.1717758900039466</x:v>
      </x:c>
    </x:row>
    <x:row r="13">
      <x:c r="A13" s="102" t="n">
        <x:v>0.06</x:v>
      </x:c>
      <x:c r="B13" s="102" t="n">
        <x:v>0.18</x:v>
      </x:c>
      <x:c r="C13" s="102" t="n">
        <x:v>0.16416666666666666</x:v>
      </x:c>
      <x:c r="D13" s="102" t="n">
        <x:v>0.60625</x:v>
      </x:c>
      <x:c r="E13" s="102" t="n">
        <x:v>0.048223350253807105</x:v>
      </x:c>
      <x:c r="F13" s="102" t="n">
        <x:v>0.044902810022063054</x:v>
      </x:c>
      <x:c r="G13" s="123" t="n">
        <x:v>17048881233</x:v>
      </x:c>
      <x:c r="H13" s="123" t="n">
        <x:v>507369630.59048384</x:v>
      </x:c>
      <x:c r="I13" s="123" t="n">
        <x:v>1997746798.037016</x:v>
      </x:c>
      <x:c r="J13" s="102" t="n">
        <x:v>1.1717758900039466</x:v>
      </x:c>
    </x:row>
    <x:row r="14">
      <x:c r="A14" s="102" t="n">
        <x:v>0.06</x:v>
      </x:c>
      <x:c r="B14" s="102" t="n">
        <x:v>0.2</x:v>
      </x:c>
      <x:c r="C14" s="102" t="n">
        <x:v>0.16416666666666666</x:v>
      </x:c>
      <x:c r="D14" s="102" t="n">
        <x:v>0.6666666666666666</x:v>
      </x:c>
      <x:c r="E14" s="102" t="n">
        <x:v>0.048223350253807105</x:v>
      </x:c>
      <x:c r="F14" s="102" t="n">
        <x:v>0.044902810022063054</x:v>
      </x:c>
      <x:c r="G14" s="123" t="n">
        <x:v>17048881233</x:v>
      </x:c>
      <x:c r="H14" s="123" t="n">
        <x:v>507369630.59048384</x:v>
      </x:c>
      <x:c r="I14" s="123" t="n">
        <x:v>1997746798.037016</x:v>
      </x:c>
      <x:c r="J14" s="102" t="n">
        <x:v>1.1717758900039466</x:v>
      </x:c>
    </x:row>
    <x:row r="15">
      <x:c r="A15" s="102" t="n">
        <x:v>0.06</x:v>
      </x:c>
      <x:c r="B15" s="102" t="n">
        <x:v>0.22</x:v>
      </x:c>
      <x:c r="C15" s="102" t="n">
        <x:v>0.16416666666666666</x:v>
      </x:c>
      <x:c r="D15" s="102" t="n">
        <x:v>0.70375</x:v>
      </x:c>
      <x:c r="E15" s="102" t="n">
        <x:v>0.048223350253807105</x:v>
      </x:c>
      <x:c r="F15" s="102" t="n">
        <x:v>0.044902810022063054</x:v>
      </x:c>
      <x:c r="G15" s="123" t="n">
        <x:v>17048881233</x:v>
      </x:c>
      <x:c r="H15" s="123" t="n">
        <x:v>507369630.59048384</x:v>
      </x:c>
      <x:c r="I15" s="123" t="n">
        <x:v>1997746798.037016</x:v>
      </x:c>
      <x:c r="J15" s="102" t="n">
        <x:v>1.1717758900039466</x:v>
      </x:c>
    </x:row>
    <x:row r="16">
      <x:c r="A16" s="102" t="n">
        <x:v>0.07</x:v>
      </x:c>
      <x:c r="B16" s="102" t="n">
        <x:v>0.14</x:v>
      </x:c>
      <x:c r="C16" s="102" t="n">
        <x:v>0.22208333333333333</x:v>
      </x:c>
      <x:c r="D16" s="102" t="n">
        <x:v>0.40208333333333335</x:v>
      </x:c>
      <x:c r="E16" s="102" t="n">
        <x:v>0.054409005628517824</x:v>
      </x:c>
      <x:c r="F16" s="102" t="n">
        <x:v>0.05013180445476193</x:v>
      </x:c>
      <x:c r="G16" s="123" t="n">
        <x:v>24635872175</x:v>
      </x:c>
      <x:c r="H16" s="123" t="n">
        <x:v>826963880.7258098</x:v>
      </x:c>
      <x:c r="I16" s="123" t="n">
        <x:v>2966298842.1416903</x:v>
      </x:c>
      <x:c r="J16" s="102" t="n">
        <x:v>1.2040567596189398</x:v>
      </x:c>
    </x:row>
    <x:row r="17">
      <x:c r="A17" s="102" t="n">
        <x:v>0.07</x:v>
      </x:c>
      <x:c r="B17" s="102" t="n">
        <x:v>0.16</x:v>
      </x:c>
      <x:c r="C17" s="102" t="n">
        <x:v>0.22208333333333333</x:v>
      </x:c>
      <x:c r="D17" s="102" t="n">
        <x:v>0.48</x:v>
      </x:c>
      <x:c r="E17" s="102" t="n">
        <x:v>0.054409005628517824</x:v>
      </x:c>
      <x:c r="F17" s="102" t="n">
        <x:v>0.05013180445476193</x:v>
      </x:c>
      <x:c r="G17" s="123" t="n">
        <x:v>24635872175</x:v>
      </x:c>
      <x:c r="H17" s="123" t="n">
        <x:v>826963880.7258098</x:v>
      </x:c>
      <x:c r="I17" s="123" t="n">
        <x:v>2966298842.1416903</x:v>
      </x:c>
      <x:c r="J17" s="102" t="n">
        <x:v>1.2040567596189398</x:v>
      </x:c>
    </x:row>
    <x:row r="18">
      <x:c r="A18" s="102" t="n">
        <x:v>0.07</x:v>
      </x:c>
      <x:c r="B18" s="102" t="n">
        <x:v>0.18</x:v>
      </x:c>
      <x:c r="C18" s="102" t="n">
        <x:v>0.22208333333333333</x:v>
      </x:c>
      <x:c r="D18" s="102" t="n">
        <x:v>0.5483333333333333</x:v>
      </x:c>
      <x:c r="E18" s="102" t="n">
        <x:v>0.054409005628517824</x:v>
      </x:c>
      <x:c r="F18" s="102" t="n">
        <x:v>0.05013180445476193</x:v>
      </x:c>
      <x:c r="G18" s="123" t="n">
        <x:v>24635872175</x:v>
      </x:c>
      <x:c r="H18" s="123" t="n">
        <x:v>826963880.7258098</x:v>
      </x:c>
      <x:c r="I18" s="123" t="n">
        <x:v>2966298842.1416903</x:v>
      </x:c>
      <x:c r="J18" s="102" t="n">
        <x:v>1.2040567596189398</x:v>
      </x:c>
    </x:row>
    <x:row r="19">
      <x:c r="A19" s="102" t="n">
        <x:v>0.07</x:v>
      </x:c>
      <x:c r="B19" s="102" t="n">
        <x:v>0.2</x:v>
      </x:c>
      <x:c r="C19" s="102" t="n">
        <x:v>0.22208333333333333</x:v>
      </x:c>
      <x:c r="D19" s="102" t="n">
        <x:v>0.60875</x:v>
      </x:c>
      <x:c r="E19" s="102" t="n">
        <x:v>0.054409005628517824</x:v>
      </x:c>
      <x:c r="F19" s="102" t="n">
        <x:v>0.05013180445476193</x:v>
      </x:c>
      <x:c r="G19" s="123" t="n">
        <x:v>24635872175</x:v>
      </x:c>
      <x:c r="H19" s="123" t="n">
        <x:v>826963880.7258098</x:v>
      </x:c>
      <x:c r="I19" s="123" t="n">
        <x:v>2966298842.1416903</x:v>
      </x:c>
      <x:c r="J19" s="102" t="n">
        <x:v>1.2040567596189398</x:v>
      </x:c>
    </x:row>
    <x:row r="20">
      <x:c r="A20" s="102" t="n">
        <x:v>0.07</x:v>
      </x:c>
      <x:c r="B20" s="102" t="n">
        <x:v>0.22</x:v>
      </x:c>
      <x:c r="C20" s="102" t="n">
        <x:v>0.22208333333333333</x:v>
      </x:c>
      <x:c r="D20" s="102" t="n">
        <x:v>0.6458333333333334</x:v>
      </x:c>
      <x:c r="E20" s="102" t="n">
        <x:v>0.054409005628517824</x:v>
      </x:c>
      <x:c r="F20" s="102" t="n">
        <x:v>0.05013180445476193</x:v>
      </x:c>
      <x:c r="G20" s="123" t="n">
        <x:v>24635872175</x:v>
      </x:c>
      <x:c r="H20" s="123" t="n">
        <x:v>826963880.7258098</x:v>
      </x:c>
      <x:c r="I20" s="123" t="n">
        <x:v>2966298842.1416903</x:v>
      </x:c>
      <x:c r="J20" s="102" t="n">
        <x:v>1.2040567596189398</x:v>
      </x:c>
    </x:row>
    <x:row r="21">
      <x:c r="A21" s="102" t="n">
        <x:v>0.08</x:v>
      </x:c>
      <x:c r="B21" s="102" t="n">
        <x:v>0.14</x:v>
      </x:c>
      <x:c r="C21" s="102" t="n">
        <x:v>0.29125</x:v>
      </x:c>
      <x:c r="D21" s="102" t="n">
        <x:v>0.3329166666666667</x:v>
      </x:c>
      <x:c r="E21" s="102" t="n">
        <x:v>0.058655221745350504</x:v>
      </x:c>
      <x:c r="F21" s="102" t="n">
        <x:v>0.055997829212164035</x:v>
      </x:c>
      <x:c r="G21" s="123" t="n">
        <x:v>32560172066</x:v>
      </x:c>
      <x:c r="H21" s="123" t="n">
        <x:v>1212401610.9396596</x:v>
      </x:c>
      <x:c r="I21" s="123" t="n">
        <x:v>3967820638.16784</x:v>
      </x:c>
      <x:c r="J21" s="102" t="n">
        <x:v>1.2186116922616386</x:v>
      </x:c>
    </x:row>
    <x:row r="22">
      <x:c r="A22" s="102" t="n">
        <x:v>0.08</x:v>
      </x:c>
      <x:c r="B22" s="102" t="n">
        <x:v>0.16</x:v>
      </x:c>
      <x:c r="C22" s="102" t="n">
        <x:v>0.29125</x:v>
      </x:c>
      <x:c r="D22" s="102" t="n">
        <x:v>0.41083333333333333</x:v>
      </x:c>
      <x:c r="E22" s="102" t="n">
        <x:v>0.058655221745350504</x:v>
      </x:c>
      <x:c r="F22" s="102" t="n">
        <x:v>0.055997829212164035</x:v>
      </x:c>
      <x:c r="G22" s="123" t="n">
        <x:v>32560172066</x:v>
      </x:c>
      <x:c r="H22" s="123" t="n">
        <x:v>1212401610.9396596</x:v>
      </x:c>
      <x:c r="I22" s="123" t="n">
        <x:v>3967820638.16784</x:v>
      </x:c>
      <x:c r="J22" s="102" t="n">
        <x:v>1.2186116922616386</x:v>
      </x:c>
    </x:row>
    <x:row r="23">
      <x:c r="A23" s="102" t="n">
        <x:v>0.08</x:v>
      </x:c>
      <x:c r="B23" s="102" t="n">
        <x:v>0.18</x:v>
      </x:c>
      <x:c r="C23" s="102" t="n">
        <x:v>0.29125</x:v>
      </x:c>
      <x:c r="D23" s="102" t="n">
        <x:v>0.4791666666666667</x:v>
      </x:c>
      <x:c r="E23" s="102" t="n">
        <x:v>0.058655221745350504</x:v>
      </x:c>
      <x:c r="F23" s="102" t="n">
        <x:v>0.055997829212164035</x:v>
      </x:c>
      <x:c r="G23" s="123" t="n">
        <x:v>32560172066</x:v>
      </x:c>
      <x:c r="H23" s="123" t="n">
        <x:v>1212401610.9396596</x:v>
      </x:c>
      <x:c r="I23" s="123" t="n">
        <x:v>3967820638.16784</x:v>
      </x:c>
      <x:c r="J23" s="102" t="n">
        <x:v>1.2186116922616386</x:v>
      </x:c>
    </x:row>
    <x:row r="24">
      <x:c r="A24" s="102" t="n">
        <x:v>0.08</x:v>
      </x:c>
      <x:c r="B24" s="102" t="n">
        <x:v>0.2</x:v>
      </x:c>
      <x:c r="C24" s="102" t="n">
        <x:v>0.29125</x:v>
      </x:c>
      <x:c r="D24" s="102" t="n">
        <x:v>0.5395833333333333</x:v>
      </x:c>
      <x:c r="E24" s="102" t="n">
        <x:v>0.058655221745350504</x:v>
      </x:c>
      <x:c r="F24" s="102" t="n">
        <x:v>0.055997829212164035</x:v>
      </x:c>
      <x:c r="G24" s="123" t="n">
        <x:v>32560172066</x:v>
      </x:c>
      <x:c r="H24" s="123" t="n">
        <x:v>1212401610.9396596</x:v>
      </x:c>
      <x:c r="I24" s="123" t="n">
        <x:v>3967820638.16784</x:v>
      </x:c>
      <x:c r="J24" s="102" t="n">
        <x:v>1.2186116922616386</x:v>
      </x:c>
    </x:row>
    <x:row r="25">
      <x:c r="A25" s="102" t="n">
        <x:v>0.08</x:v>
      </x:c>
      <x:c r="B25" s="102" t="n">
        <x:v>0.22</x:v>
      </x:c>
      <x:c r="C25" s="102" t="n">
        <x:v>0.29125</x:v>
      </x:c>
      <x:c r="D25" s="102" t="n">
        <x:v>0.5766666666666667</x:v>
      </x:c>
      <x:c r="E25" s="102" t="n">
        <x:v>0.058655221745350504</x:v>
      </x:c>
      <x:c r="F25" s="102" t="n">
        <x:v>0.055997829212164035</x:v>
      </x:c>
      <x:c r="G25" s="123" t="n">
        <x:v>32560172066</x:v>
      </x:c>
      <x:c r="H25" s="123" t="n">
        <x:v>1212401610.9396596</x:v>
      </x:c>
      <x:c r="I25" s="123" t="n">
        <x:v>3967820638.16784</x:v>
      </x:c>
      <x:c r="J25" s="102" t="n">
        <x:v>1.2186116922616386</x:v>
      </x:c>
    </x:row>
    <x:row r="26">
      <x:c r="A26" s="102" t="n">
        <x:v>0.09</x:v>
      </x:c>
      <x:c r="B26" s="102" t="n">
        <x:v>0.14</x:v>
      </x:c>
      <x:c r="C26" s="102" t="n">
        <x:v>0.3541666666666667</x:v>
      </x:c>
      <x:c r="D26" s="102" t="n">
        <x:v>0.27</x:v>
      </x:c>
      <x:c r="E26" s="102" t="n">
        <x:v>0.06588235294117648</x:v>
      </x:c>
      <x:c r="F26" s="102" t="n">
        <x:v>0.0612318269708522</x:v>
      </x:c>
      <x:c r="G26" s="123" t="n">
        <x:v>40409587043</x:v>
      </x:c>
      <x:c r="H26" s="123" t="n">
        <x:v>1648549890.299512</x:v>
      </x:c>
      <x:c r="I26" s="123" t="n">
        <x:v>4810977144.170487</x:v>
      </x:c>
      <x:c r="J26" s="102" t="n">
        <x:v>1.1905534048272028</x:v>
      </x:c>
    </x:row>
    <x:row r="27">
      <x:c r="A27" s="102" t="n">
        <x:v>0.09</x:v>
      </x:c>
      <x:c r="B27" s="102" t="n">
        <x:v>0.16</x:v>
      </x:c>
      <x:c r="C27" s="102" t="n">
        <x:v>0.3541666666666667</x:v>
      </x:c>
      <x:c r="D27" s="102" t="n">
        <x:v>0.34791666666666665</x:v>
      </x:c>
      <x:c r="E27" s="102" t="n">
        <x:v>0.06588235294117648</x:v>
      </x:c>
      <x:c r="F27" s="102" t="n">
        <x:v>0.0612318269708522</x:v>
      </x:c>
      <x:c r="G27" s="123" t="n">
        <x:v>40409587043</x:v>
      </x:c>
      <x:c r="H27" s="123" t="n">
        <x:v>1648549890.299512</x:v>
      </x:c>
      <x:c r="I27" s="123" t="n">
        <x:v>4810977144.170487</x:v>
      </x:c>
      <x:c r="J27" s="102" t="n">
        <x:v>1.1905534048272028</x:v>
      </x:c>
    </x:row>
    <x:row r="28">
      <x:c r="A28" s="102" t="n">
        <x:v>0.09</x:v>
      </x:c>
      <x:c r="B28" s="102" t="n">
        <x:v>0.18</x:v>
      </x:c>
      <x:c r="C28" s="102" t="n">
        <x:v>0.3541666666666667</x:v>
      </x:c>
      <x:c r="D28" s="102" t="n">
        <x:v>0.41625</x:v>
      </x:c>
      <x:c r="E28" s="102" t="n">
        <x:v>0.06588235294117648</x:v>
      </x:c>
      <x:c r="F28" s="102" t="n">
        <x:v>0.0612318269708522</x:v>
      </x:c>
      <x:c r="G28" s="123" t="n">
        <x:v>40409587043</x:v>
      </x:c>
      <x:c r="H28" s="123" t="n">
        <x:v>1648549890.299512</x:v>
      </x:c>
      <x:c r="I28" s="123" t="n">
        <x:v>4810977144.170487</x:v>
      </x:c>
      <x:c r="J28" s="102" t="n">
        <x:v>1.1905534048272028</x:v>
      </x:c>
    </x:row>
    <x:row r="29">
      <x:c r="A29" s="102" t="n">
        <x:v>0.09</x:v>
      </x:c>
      <x:c r="B29" s="102" t="n">
        <x:v>0.2</x:v>
      </x:c>
      <x:c r="C29" s="102" t="n">
        <x:v>0.3541666666666667</x:v>
      </x:c>
      <x:c r="D29" s="102" t="n">
        <x:v>0.4766666666666667</x:v>
      </x:c>
      <x:c r="E29" s="102" t="n">
        <x:v>0.06588235294117648</x:v>
      </x:c>
      <x:c r="F29" s="102" t="n">
        <x:v>0.0612318269708522</x:v>
      </x:c>
      <x:c r="G29" s="123" t="n">
        <x:v>40409587043</x:v>
      </x:c>
      <x:c r="H29" s="123" t="n">
        <x:v>1648549890.299512</x:v>
      </x:c>
      <x:c r="I29" s="123" t="n">
        <x:v>4810977144.170487</x:v>
      </x:c>
      <x:c r="J29" s="102" t="n">
        <x:v>1.1905534048272028</x:v>
      </x:c>
    </x:row>
    <x:row r="30">
      <x:c r="A30" s="102" t="n">
        <x:v>0.09</x:v>
      </x:c>
      <x:c r="B30" s="102" t="n">
        <x:v>0.22</x:v>
      </x:c>
      <x:c r="C30" s="102" t="n">
        <x:v>0.3541666666666667</x:v>
      </x:c>
      <x:c r="D30" s="102" t="n">
        <x:v>0.51375</x:v>
      </x:c>
      <x:c r="E30" s="102" t="n">
        <x:v>0.06588235294117648</x:v>
      </x:c>
      <x:c r="F30" s="102" t="n">
        <x:v>0.0612318269708522</x:v>
      </x:c>
      <x:c r="G30" s="123" t="n">
        <x:v>40409587043</x:v>
      </x:c>
      <x:c r="H30" s="123" t="n">
        <x:v>1648549890.299512</x:v>
      </x:c>
      <x:c r="I30" s="123" t="n">
        <x:v>4810977144.170487</x:v>
      </x:c>
      <x:c r="J30" s="102" t="n">
        <x:v>1.1905534048272028</x:v>
      </x:c>
    </x:row>
    <x:row r="31">
      <x:c r="A31" s="102" t="n">
        <x:v>0.1</x:v>
      </x:c>
      <x:c r="B31" s="102" t="n">
        <x:v>0.14</x:v>
      </x:c>
      <x:c r="C31" s="102" t="n">
        <x:v>0.41583333333333333</x:v>
      </x:c>
      <x:c r="D31" s="102" t="n">
        <x:v>0.20833333333333334</x:v>
      </x:c>
      <x:c r="E31" s="102" t="n">
        <x:v>0.06513026052104208</x:v>
      </x:c>
      <x:c r="F31" s="102" t="n">
        <x:v>0.0662135247930042</x:v>
      </x:c>
      <x:c r="G31" s="123" t="n">
        <x:v>48517078527</x:v>
      </x:c>
      <x:c r="H31" s="123" t="n">
        <x:v>2148655140.9163294</x:v>
      </x:c>
      <x:c r="I31" s="123" t="n">
        <x:v>5577051858.33867</x:v>
      </x:c>
      <x:c r="J31" s="102" t="n">
        <x:v>1.1495028199678208</x:v>
      </x:c>
    </x:row>
    <x:row r="32">
      <x:c r="A32" s="102" t="n">
        <x:v>0.1</x:v>
      </x:c>
      <x:c r="B32" s="102" t="n">
        <x:v>0.16</x:v>
      </x:c>
      <x:c r="C32" s="102" t="n">
        <x:v>0.41583333333333333</x:v>
      </x:c>
      <x:c r="D32" s="102" t="n">
        <x:v>0.28625</x:v>
      </x:c>
      <x:c r="E32" s="102" t="n">
        <x:v>0.06513026052104208</x:v>
      </x:c>
      <x:c r="F32" s="102" t="n">
        <x:v>0.0662135247930042</x:v>
      </x:c>
      <x:c r="G32" s="123" t="n">
        <x:v>48517078527</x:v>
      </x:c>
      <x:c r="H32" s="123" t="n">
        <x:v>2148655140.9163294</x:v>
      </x:c>
      <x:c r="I32" s="123" t="n">
        <x:v>5577051858.33867</x:v>
      </x:c>
      <x:c r="J32" s="102" t="n">
        <x:v>1.1495028199678208</x:v>
      </x:c>
    </x:row>
    <x:row r="33">
      <x:c r="A33" s="102" t="n">
        <x:v>0.1</x:v>
      </x:c>
      <x:c r="B33" s="102" t="n">
        <x:v>0.18</x:v>
      </x:c>
      <x:c r="C33" s="102" t="n">
        <x:v>0.41583333333333333</x:v>
      </x:c>
      <x:c r="D33" s="102" t="n">
        <x:v>0.3545833333333333</x:v>
      </x:c>
      <x:c r="E33" s="102" t="n">
        <x:v>0.06513026052104208</x:v>
      </x:c>
      <x:c r="F33" s="102" t="n">
        <x:v>0.0662135247930042</x:v>
      </x:c>
      <x:c r="G33" s="123" t="n">
        <x:v>48517078527</x:v>
      </x:c>
      <x:c r="H33" s="123" t="n">
        <x:v>2148655140.9163294</x:v>
      </x:c>
      <x:c r="I33" s="123" t="n">
        <x:v>5577051858.33867</x:v>
      </x:c>
      <x:c r="J33" s="102" t="n">
        <x:v>1.1495028199678208</x:v>
      </x:c>
    </x:row>
    <x:row r="34">
      <x:c r="A34" s="102" t="n">
        <x:v>0.1</x:v>
      </x:c>
      <x:c r="B34" s="102" t="n">
        <x:v>0.2</x:v>
      </x:c>
      <x:c r="C34" s="102" t="n">
        <x:v>0.41583333333333333</x:v>
      </x:c>
      <x:c r="D34" s="102" t="n">
        <x:v>0.415</x:v>
      </x:c>
      <x:c r="E34" s="102" t="n">
        <x:v>0.06513026052104208</x:v>
      </x:c>
      <x:c r="F34" s="102" t="n">
        <x:v>0.0662135247930042</x:v>
      </x:c>
      <x:c r="G34" s="123" t="n">
        <x:v>48517078527</x:v>
      </x:c>
      <x:c r="H34" s="123" t="n">
        <x:v>2148655140.9163294</x:v>
      </x:c>
      <x:c r="I34" s="123" t="n">
        <x:v>5577051858.33867</x:v>
      </x:c>
      <x:c r="J34" s="102" t="n">
        <x:v>1.1495028199678208</x:v>
      </x:c>
    </x:row>
    <x:row r="35">
      <x:c r="A35" s="102" t="n">
        <x:v>0.1</x:v>
      </x:c>
      <x:c r="B35" s="102" t="n">
        <x:v>0.22</x:v>
      </x:c>
      <x:c r="C35" s="102" t="n">
        <x:v>0.41583333333333333</x:v>
      </x:c>
      <x:c r="D35" s="102" t="n">
        <x:v>0.45208333333333334</x:v>
      </x:c>
      <x:c r="E35" s="102" t="n">
        <x:v>0.06513026052104208</x:v>
      </x:c>
      <x:c r="F35" s="102" t="n">
        <x:v>0.0662135247930042</x:v>
      </x:c>
      <x:c r="G35" s="123" t="n">
        <x:v>48517078527</x:v>
      </x:c>
      <x:c r="H35" s="123" t="n">
        <x:v>2148655140.9163294</x:v>
      </x:c>
      <x:c r="I35" s="123" t="n">
        <x:v>5577051858.33867</x:v>
      </x:c>
      <x:c r="J35" s="102" t="n">
        <x:v>1.1495028199678208</x:v>
      </x:c>
    </x:row>
    <x:row r="36">
      <x:c r="A36" s="102" t="n">
        <x:v>0.11</x:v>
      </x:c>
      <x:c r="B36" s="102" t="n">
        <x:v>0.15</x:v>
      </x:c>
      <x:c r="C36" s="102" t="n">
        <x:v>0.47708333333333336</x:v>
      </x:c>
      <x:c r="D36" s="102" t="n">
        <x:v>0.18333333333333332</x:v>
      </x:c>
      <x:c r="E36" s="102" t="n">
        <x:v>0.06986899563318777</x:v>
      </x:c>
      <x:c r="F36" s="102" t="n">
        <x:v>0.07122194614688748</x:v>
      </x:c>
      <x:c r="G36" s="123" t="n">
        <x:v>56729125893</x:v>
      </x:c>
      <x:c r="H36" s="123" t="n">
        <x:v>2711431408.9235888</x:v>
      </x:c>
      <x:c r="I36" s="123" t="n">
        <x:v>6890405065.31891</x:v>
      </x:c>
      <x:c r="J36" s="102" t="n">
        <x:v>1.2146150600513905</x:v>
      </x:c>
    </x:row>
    <x:row r="37">
      <x:c r="A37" s="102" t="n">
        <x:v>0.11</x:v>
      </x:c>
      <x:c r="B37" s="102" t="n">
        <x:v>0.17</x:v>
      </x:c>
      <x:c r="C37" s="102" t="n">
        <x:v>0.47708333333333336</x:v>
      </x:c>
      <x:c r="D37" s="102" t="n">
        <x:v>0.26125</x:v>
      </x:c>
      <x:c r="E37" s="102" t="n">
        <x:v>0.06986899563318777</x:v>
      </x:c>
      <x:c r="F37" s="102" t="n">
        <x:v>0.07122194614688748</x:v>
      </x:c>
      <x:c r="G37" s="123" t="n">
        <x:v>56729125893</x:v>
      </x:c>
      <x:c r="H37" s="123" t="n">
        <x:v>2711431408.9235888</x:v>
      </x:c>
      <x:c r="I37" s="123" t="n">
        <x:v>6890405065.31891</x:v>
      </x:c>
      <x:c r="J37" s="102" t="n">
        <x:v>1.2146150600513905</x:v>
      </x:c>
    </x:row>
    <x:row r="38">
      <x:c r="A38" s="102" t="n">
        <x:v>0.11</x:v>
      </x:c>
      <x:c r="B38" s="102" t="n">
        <x:v>0.19</x:v>
      </x:c>
      <x:c r="C38" s="102" t="n">
        <x:v>0.47708333333333336</x:v>
      </x:c>
      <x:c r="D38" s="102" t="n">
        <x:v>0.3275</x:v>
      </x:c>
      <x:c r="E38" s="102" t="n">
        <x:v>0.06986899563318777</x:v>
      </x:c>
      <x:c r="F38" s="102" t="n">
        <x:v>0.07122194614688748</x:v>
      </x:c>
      <x:c r="G38" s="123" t="n">
        <x:v>56729125893</x:v>
      </x:c>
      <x:c r="H38" s="123" t="n">
        <x:v>2711431408.9235888</x:v>
      </x:c>
      <x:c r="I38" s="123" t="n">
        <x:v>6890405065.31891</x:v>
      </x:c>
      <x:c r="J38" s="102" t="n">
        <x:v>1.2146150600513905</x:v>
      </x:c>
    </x:row>
    <x:row r="39">
      <x:c r="A39" s="102" t="n">
        <x:v>0.11</x:v>
      </x:c>
      <x:c r="B39" s="102" t="n">
        <x:v>0.21</x:v>
      </x:c>
      <x:c r="C39" s="102" t="n">
        <x:v>0.47708333333333336</x:v>
      </x:c>
      <x:c r="D39" s="102" t="n">
        <x:v>0.37375</x:v>
      </x:c>
      <x:c r="E39" s="102" t="n">
        <x:v>0.06986899563318777</x:v>
      </x:c>
      <x:c r="F39" s="102" t="n">
        <x:v>0.07122194614688748</x:v>
      </x:c>
      <x:c r="G39" s="123" t="n">
        <x:v>56729125893</x:v>
      </x:c>
      <x:c r="H39" s="123" t="n">
        <x:v>2711431408.9235888</x:v>
      </x:c>
      <x:c r="I39" s="123" t="n">
        <x:v>6890405065.31891</x:v>
      </x:c>
      <x:c r="J39" s="102" t="n">
        <x:v>1.2146150600513905</x:v>
      </x:c>
    </x:row>
    <x:row r="40">
      <x:c r="A40" s="102" t="n">
        <x:v>0.11</x:v>
      </x:c>
      <x:c r="B40" s="102" t="n">
        <x:v>0.23</x:v>
      </x:c>
      <x:c r="C40" s="102" t="n">
        <x:v>0.47708333333333336</x:v>
      </x:c>
      <x:c r="D40" s="102" t="n">
        <x:v>0.4058333333333333</x:v>
      </x:c>
      <x:c r="E40" s="102" t="n">
        <x:v>0.06986899563318777</x:v>
      </x:c>
      <x:c r="F40" s="102" t="n">
        <x:v>0.07122194614688748</x:v>
      </x:c>
      <x:c r="G40" s="123" t="n">
        <x:v>56729125893</x:v>
      </x:c>
      <x:c r="H40" s="123" t="n">
        <x:v>2711431408.9235888</x:v>
      </x:c>
      <x:c r="I40" s="123" t="n">
        <x:v>6890405065.31891</x:v>
      </x:c>
      <x:c r="J40" s="102" t="n">
        <x:v>1.2146150600513905</x:v>
      </x:c>
    </x:row>
    <x:row r="41">
      <x:c r="A41" s="102" t="n">
        <x:v>0.12</x:v>
      </x:c>
      <x:c r="B41" s="102" t="n">
        <x:v>0.16</x:v>
      </x:c>
      <x:c r="C41" s="102" t="n">
        <x:v>0.5304166666666666</x:v>
      </x:c>
      <x:c r="D41" s="102" t="n">
        <x:v>0.17166666666666666</x:v>
      </x:c>
      <x:c r="E41" s="102" t="n">
        <x:v>0.07069913589945012</x:v>
      </x:c>
      <x:c r="F41" s="102" t="n">
        <x:v>0.0755940433456215</x:v>
      </x:c>
      <x:c r="G41" s="123" t="n">
        <x:v>63784309181</x:v>
      </x:c>
      <x:c r="H41" s="123" t="n">
        <x:v>3237189369.277129</x:v>
      </x:c>
      <x:c r="I41" s="123" t="n">
        <x:v>7976415444.42787</x:v>
      </x:c>
      <x:c r="J41" s="102" t="n">
        <x:v>1.250529408697253</x:v>
      </x:c>
    </x:row>
    <x:row r="42">
      <x:c r="A42" s="102" t="n">
        <x:v>0.12</x:v>
      </x:c>
      <x:c r="B42" s="102" t="n">
        <x:v>0.18</x:v>
      </x:c>
      <x:c r="C42" s="102" t="n">
        <x:v>0.5304166666666666</x:v>
      </x:c>
      <x:c r="D42" s="102" t="n">
        <x:v>0.24</x:v>
      </x:c>
      <x:c r="E42" s="102" t="n">
        <x:v>0.07069913589945012</x:v>
      </x:c>
      <x:c r="F42" s="102" t="n">
        <x:v>0.0755940433456215</x:v>
      </x:c>
      <x:c r="G42" s="123" t="n">
        <x:v>63784309181</x:v>
      </x:c>
      <x:c r="H42" s="123" t="n">
        <x:v>3237189369.277129</x:v>
      </x:c>
      <x:c r="I42" s="123" t="n">
        <x:v>7976415444.42787</x:v>
      </x:c>
      <x:c r="J42" s="102" t="n">
        <x:v>1.250529408697253</x:v>
      </x:c>
    </x:row>
    <x:row r="43">
      <x:c r="A43" s="102" t="n">
        <x:v>0.12</x:v>
      </x:c>
      <x:c r="B43" s="102" t="n">
        <x:v>0.2</x:v>
      </x:c>
      <x:c r="C43" s="102" t="n">
        <x:v>0.5304166666666666</x:v>
      </x:c>
      <x:c r="D43" s="102" t="n">
        <x:v>0.30041666666666667</x:v>
      </x:c>
      <x:c r="E43" s="102" t="n">
        <x:v>0.07069913589945012</x:v>
      </x:c>
      <x:c r="F43" s="102" t="n">
        <x:v>0.0755940433456215</x:v>
      </x:c>
      <x:c r="G43" s="123" t="n">
        <x:v>63784309181</x:v>
      </x:c>
      <x:c r="H43" s="123" t="n">
        <x:v>3237189369.277129</x:v>
      </x:c>
      <x:c r="I43" s="123" t="n">
        <x:v>7976415444.42787</x:v>
      </x:c>
      <x:c r="J43" s="102" t="n">
        <x:v>1.250529408697253</x:v>
      </x:c>
    </x:row>
    <x:row r="44">
      <x:c r="A44" s="102" t="n">
        <x:v>0.12</x:v>
      </x:c>
      <x:c r="B44" s="102" t="n">
        <x:v>0.22</x:v>
      </x:c>
      <x:c r="C44" s="102" t="n">
        <x:v>0.5304166666666666</x:v>
      </x:c>
      <x:c r="D44" s="102" t="n">
        <x:v>0.3375</x:v>
      </x:c>
      <x:c r="E44" s="102" t="n">
        <x:v>0.07069913589945012</x:v>
      </x:c>
      <x:c r="F44" s="102" t="n">
        <x:v>0.0755940433456215</x:v>
      </x:c>
      <x:c r="G44" s="123" t="n">
        <x:v>63784309181</x:v>
      </x:c>
      <x:c r="H44" s="123" t="n">
        <x:v>3237189369.277129</x:v>
      </x:c>
      <x:c r="I44" s="123" t="n">
        <x:v>7976415444.42787</x:v>
      </x:c>
      <x:c r="J44" s="102" t="n">
        <x:v>1.250529408697253</x:v>
      </x:c>
    </x:row>
    <x:row r="45">
      <x:c r="A45" s="102" t="n">
        <x:v>0.13</x:v>
      </x:c>
      <x:c r="B45" s="102" t="n">
        <x:v>0.17</x:v>
      </x:c>
      <x:c r="C45" s="102" t="n">
        <x:v>0.5745833333333333</x:v>
      </x:c>
      <x:c r="D45" s="102" t="n">
        <x:v>0.16375</x:v>
      </x:c>
      <x:c r="E45" s="102" t="n">
        <x:v>0.0775924583031182</x:v>
      </x:c>
      <x:c r="F45" s="102" t="n">
        <x:v>0.07938221927500227</x:v>
      </x:c>
      <x:c r="G45" s="123" t="n">
        <x:v>69558061105</x:v>
      </x:c>
      <x:c r="H45" s="123" t="n">
        <x:v>3706115189.0227466</x:v>
      </x:c>
      <x:c r="I45" s="123" t="n">
        <x:v>8782580131.857252</x:v>
      </x:c>
      <x:c r="J45" s="102" t="n">
        <x:v>1.2626257823086358</x:v>
      </x:c>
    </x:row>
    <x:row r="46">
      <x:c r="A46" s="102" t="n">
        <x:v>0.13</x:v>
      </x:c>
      <x:c r="B46" s="102" t="n">
        <x:v>0.19</x:v>
      </x:c>
      <x:c r="C46" s="102" t="n">
        <x:v>0.5745833333333333</x:v>
      </x:c>
      <x:c r="D46" s="102" t="n">
        <x:v>0.23</x:v>
      </x:c>
      <x:c r="E46" s="102" t="n">
        <x:v>0.0775924583031182</x:v>
      </x:c>
      <x:c r="F46" s="102" t="n">
        <x:v>0.07938221927500227</x:v>
      </x:c>
      <x:c r="G46" s="123" t="n">
        <x:v>69558061105</x:v>
      </x:c>
      <x:c r="H46" s="123" t="n">
        <x:v>3706115189.0227466</x:v>
      </x:c>
      <x:c r="I46" s="123" t="n">
        <x:v>8782580131.857252</x:v>
      </x:c>
      <x:c r="J46" s="102" t="n">
        <x:v>1.2626257823086358</x:v>
      </x:c>
    </x:row>
    <x:row r="47">
      <x:c r="A47" s="102" t="n">
        <x:v>0.13</x:v>
      </x:c>
      <x:c r="B47" s="102" t="n">
        <x:v>0.21</x:v>
      </x:c>
      <x:c r="C47" s="102" t="n">
        <x:v>0.5745833333333333</x:v>
      </x:c>
      <x:c r="D47" s="102" t="n">
        <x:v>0.27625</x:v>
      </x:c>
      <x:c r="E47" s="102" t="n">
        <x:v>0.0775924583031182</x:v>
      </x:c>
      <x:c r="F47" s="102" t="n">
        <x:v>0.07938221927500227</x:v>
      </x:c>
      <x:c r="G47" s="123" t="n">
        <x:v>69558061105</x:v>
      </x:c>
      <x:c r="H47" s="123" t="n">
        <x:v>3706115189.0227466</x:v>
      </x:c>
      <x:c r="I47" s="123" t="n">
        <x:v>8782580131.857252</x:v>
      </x:c>
      <x:c r="J47" s="102" t="n">
        <x:v>1.2626257823086358</x:v>
      </x:c>
    </x:row>
    <x:row r="48">
      <x:c r="A48" s="121" t="n">
        <x:v>0.13</x:v>
      </x:c>
      <x:c r="B48" s="121" t="n">
        <x:v>0.23</x:v>
      </x:c>
      <x:c r="C48" s="121" t="n">
        <x:v>0.5745833333333333</x:v>
      </x:c>
      <x:c r="D48" s="121" t="n">
        <x:v>0.30833333333333335</x:v>
      </x:c>
      <x:c r="E48" s="121" t="n">
        <x:v>0.0775924583031182</x:v>
      </x:c>
      <x:c r="F48" s="121" t="n">
        <x:v>0.07938221927500227</x:v>
      </x:c>
      <x:c r="G48" s="103" t="n">
        <x:v>69558061105</x:v>
      </x:c>
      <x:c r="H48" s="103" t="n">
        <x:v>3706115189.0227466</x:v>
      </x:c>
      <x:c r="I48" s="103" t="n">
        <x:v>8782580131.857252</x:v>
      </x:c>
      <x:c r="J48" s="121" t="n">
        <x:v>1.2626257823086358</x:v>
      </x:c>
    </x:row>
  </x:sheetData>
  <x:dataValidations count="2">
    <x:dataValidation type="list" sqref="B5">
      <x:formula1>"6%,7%,8%,9%,10%,11%,12%,13%"</x:formula1>
    </x:dataValidation>
    <x:dataValidation type="list" sqref="B6">
      <x:formula1>"14%,15%,16%,17%,18%,19%,20%,21%,22%"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1" hidden="0" customWidth="1"/>
    <x:col min="8" max="8" width="21" hidden="0" customWidth="1"/>
    <x:col min="9" max="9" width="16" hidden="0" customWidth="1"/>
  </x:cols>
  <x:sheetData>
    <x:row r="2" ht="25" customHeight="1">
      <x:c r="A2" s="88" t="str">
        <x:v>Portfolio Stress Testing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Base, Downturn and Severe scenarios apply shocks to PD odds, LGD and funding cost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Scenario</x:v>
      </x:c>
      <x:c r="B6" s="95" t="str">
        <x:v>PD odds multiplier</x:v>
      </x:c>
      <x:c r="C6" s="95" t="str">
        <x:v>LGD</x:v>
      </x:c>
      <x:c r="D6" s="95" t="str">
        <x:v>Funding rate</x:v>
      </x:c>
      <x:c r="E6" s="95" t="str">
        <x:v>Approval rate</x:v>
      </x:c>
      <x:c r="F6" s="95" t="str">
        <x:v>Portfolio PD</x:v>
      </x:c>
      <x:c r="G6" s="95" t="str">
        <x:v>Expected loss</x:v>
      </x:c>
      <x:c r="H6" s="95" t="str">
        <x:v>Expected profit</x:v>
      </x:c>
      <x:c r="I6" s="95" t="str">
        <x:v>RAROC</x:v>
      </x:c>
    </x:row>
    <x:row r="7">
      <x:c r="A7" s="98" t="str">
        <x:v>Base</x:v>
      </x:c>
      <x:c r="B7" s="98" t="n">
        <x:v>1</x:v>
      </x:c>
      <x:c r="C7" s="120" t="n">
        <x:v>0.65</x:v>
      </x:c>
      <x:c r="D7" s="120" t="n">
        <x:v>0.07</x:v>
      </x:c>
      <x:c r="E7" s="120" t="n">
        <x:v>0.41583333333333333</x:v>
      </x:c>
      <x:c r="F7" s="120" t="n">
        <x:v>0.0662135247930042</x:v>
      </x:c>
      <x:c r="G7" s="122" t="n">
        <x:v>2148655140.9163294</x:v>
      </x:c>
      <x:c r="H7" s="122" t="n">
        <x:v>5577051858.33867</x:v>
      </x:c>
      <x:c r="I7" s="120" t="n">
        <x:v>1.1495028199678208</x:v>
      </x:c>
    </x:row>
    <x:row r="8">
      <x:c r="A8" s="99" t="str">
        <x:v>Downturn</x:v>
      </x:c>
      <x:c r="B8" s="99" t="n">
        <x:v>1.35</x:v>
      </x:c>
      <x:c r="C8" s="102" t="n">
        <x:v>0.72</x:v>
      </x:c>
      <x:c r="D8" s="102" t="n">
        <x:v>0.085</x:v>
      </x:c>
      <x:c r="E8" s="102" t="n">
        <x:v>0.26625</x:v>
      </x:c>
      <x:c r="F8" s="102" t="n">
        <x:v>0.07135786752922843</x:v>
      </x:c>
      <x:c r="G8" s="123" t="n">
        <x:v>1566282838.8256607</x:v>
      </x:c>
      <x:c r="H8" s="123" t="n">
        <x:v>2612992398.696839</x:v>
      </x:c>
      <x:c r="I8" s="102" t="n">
        <x:v>0.8788187242386657</x:v>
      </x:c>
    </x:row>
    <x:row r="9">
      <x:c r="A9" s="100" t="str">
        <x:v>Severe</x:v>
      </x:c>
      <x:c r="B9" s="100" t="n">
        <x:v>1.75</x:v>
      </x:c>
      <x:c r="C9" s="121" t="n">
        <x:v>0.8</x:v>
      </x:c>
      <x:c r="D9" s="121" t="n">
        <x:v>0.10500000000000001</x:v>
      </x:c>
      <x:c r="E9" s="121" t="n">
        <x:v>0.16166666666666665</x:v>
      </x:c>
      <x:c r="F9" s="121" t="n">
        <x:v>0.07551309550135663</x:v>
      </x:c>
      <x:c r="G9" s="103" t="n">
        <x:v>1038052424.8439927</x:v>
      </x:c>
      <x:c r="H9" s="103" t="n">
        <x:v>785309980.9310069</x:v>
      </x:c>
      <x:c r="I9" s="121" t="n">
        <x:v>0.46635754929223566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7" hidden="0" customWidth="1"/>
  </x:cols>
  <x:sheetData>
    <x:row r="2" ht="25" customHeight="1">
      <x:c r="A2" s="88" t="str">
        <x:v>PD–LGD–EAD Portfolio Economics</x:v>
      </x:c>
      <x:c r="B2" s="88"/>
      <x:c r="C2" s="88"/>
      <x:c r="D2" s="88"/>
      <x:c r="E2" s="88"/>
      <x:c r="F2" s="88"/>
      <x:c r="G2" s="88"/>
      <x:c r="H2" s="88"/>
    </x:row>
    <x:row r="3" ht="20" customHeight="1">
      <x:c r="A3" s="89" t="str">
        <x:v>Risk-band view of exposure, expected loss, profit, RAROC and break-even pricing</x:v>
      </x:c>
      <x:c r="B3" s="89"/>
      <x:c r="C3" s="89"/>
      <x:c r="D3" s="89"/>
      <x:c r="E3" s="89"/>
      <x:c r="F3" s="89"/>
      <x:c r="G3" s="89"/>
      <x:c r="H3" s="89"/>
    </x:row>
    <x:row r="4">
      <x:c r="A4" s="90"/>
      <x:c r="B4" s="90"/>
      <x:c r="C4" s="90"/>
      <x:c r="D4" s="90"/>
      <x:c r="E4" s="90"/>
      <x:c r="F4" s="90"/>
      <x:c r="G4" s="90"/>
      <x:c r="H4" s="90"/>
    </x:row>
    <x:row r="6" ht="30" customHeight="1">
      <x:c r="A6" s="95" t="str">
        <x:v>Risk band</x:v>
      </x:c>
      <x:c r="B6" s="95" t="str">
        <x:v>Applications</x:v>
      </x:c>
      <x:c r="C6" s="95" t="str">
        <x:v>Mean PD</x:v>
      </x:c>
      <x:c r="D6" s="95" t="str">
        <x:v>Total EAD</x:v>
      </x:c>
      <x:c r="E6" s="95" t="str">
        <x:v>Expected loss</x:v>
      </x:c>
      <x:c r="F6" s="95" t="str">
        <x:v>Expected profit</x:v>
      </x:c>
      <x:c r="G6" s="95" t="str">
        <x:v>Mean RAROC</x:v>
      </x:c>
      <x:c r="H6" s="95" t="str">
        <x:v>Break-even rate</x:v>
      </x:c>
    </x:row>
    <x:row r="7">
      <x:c r="A7" s="98" t="str">
        <x:v>A</x:v>
      </x:c>
      <x:c r="B7" s="98" t="n">
        <x:v>250</x:v>
      </x:c>
      <x:c r="C7" s="120" t="n">
        <x:v>0.03891539512009936</x:v>
      </x:c>
      <x:c r="D7" s="122" t="n">
        <x:v>10281650966</x:v>
      </x:c>
      <x:c r="E7" s="122" t="n">
        <x:v>264576001.75358525</x:v>
      </x:c>
      <x:c r="F7" s="122" t="n">
        <x:v>1148945844.5739148</x:v>
      </x:c>
      <x:c r="G7" s="120" t="n">
        <x:v>0.5903985462417544</x:v>
      </x:c>
      <x:c r="H7" s="120" t="n">
        <x:v>0.10096014537582455</x:v>
      </x:c>
    </x:row>
    <x:row r="8">
      <x:c r="A8" s="99" t="str">
        <x:v>B</x:v>
      </x:c>
      <x:c r="B8" s="99" t="n">
        <x:v>748</x:v>
      </x:c>
      <x:c r="C8" s="102" t="n">
        <x:v>0.0753372312344831</x:v>
      </x:c>
      <x:c r="D8" s="123" t="n">
        <x:v>38235427561</x:v>
      </x:c>
      <x:c r="E8" s="123" t="n">
        <x:v>1884079139.1627438</x:v>
      </x:c>
      <x:c r="F8" s="123" t="n">
        <x:v>4428106013.764755</x:v>
      </x:c>
      <x:c r="G8" s="102" t="n">
        <x:v>0.6280858148907581</x:v>
      </x:c>
      <x:c r="H8" s="102" t="n">
        <x:v>0.11719141851092417</x:v>
      </x:c>
    </x:row>
    <x:row r="9">
      <x:c r="A9" s="99" t="str">
        <x:v>C</x:v>
      </x:c>
      <x:c r="B9" s="99" t="n">
        <x:v>851</x:v>
      </x:c>
      <x:c r="C9" s="102" t="n">
        <x:v>0.13558594772682916</x:v>
      </x:c>
      <x:c r="D9" s="123" t="n">
        <x:v>47953851294</x:v>
      </x:c>
      <x:c r="E9" s="123" t="n">
        <x:v>4240421782.516341</x:v>
      </x:c>
      <x:c r="F9" s="123" t="n">
        <x:v>6524299377.183659</x:v>
      </x:c>
      <x:c r="G9" s="102" t="n">
        <x:v>0.6990246488529464</x:v>
      </x:c>
      <x:c r="H9" s="102" t="n">
        <x:v>0.15009753511470536</x:v>
      </x:c>
    </x:row>
    <x:row r="10">
      <x:c r="A10" s="100" t="str">
        <x:v>D</x:v>
      </x:c>
      <x:c r="B10" s="100" t="n">
        <x:v>551</x:v>
      </x:c>
      <x:c r="C10" s="121" t="n">
        <x:v>0.25261702094961436</x:v>
      </x:c>
      <x:c r="D10" s="103" t="n">
        <x:v>34838542802</x:v>
      </x:c>
      <x:c r="E10" s="103" t="n">
        <x:v>5688402967.814716</x:v>
      </x:c>
      <x:c r="F10" s="103" t="n">
        <x:v>3309646382.060283</x:v>
      </x:c>
      <x:c r="G10" s="121" t="n">
        <x:v>0.2942612071323855</x:v>
      </x:c>
      <x:c r="H10" s="121" t="n">
        <x:v>0.22057387928676145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4" max="4" width="70" hidden="0" customWidth="1"/>
  </x:cols>
  <x:sheetData>
    <x:row r="2" ht="25" customHeight="1">
      <x:c r="A2" s="88" t="str">
        <x:v>V6 Bank-Grade Deployment &amp; IFRS 9 Summary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Outcome-maturity controls, component validation, probability-weighted ECL and safe rollback evidence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Metric</x:v>
      </x:c>
      <x:c r="B6" s="136" t="str">
        <x:v>Result</x:v>
      </x:c>
      <x:c r="D6" s="136" t="str">
        <x:v>Validation conclusion</x:v>
      </x:c>
    </x:row>
    <x:row r="7" ht="95" customHeight="1">
      <x:c r="A7" s="98" t="str">
        <x:v>Build</x:v>
      </x:c>
      <x:c r="B7" s="98" t="str">
        <x:v>V6.0</x:v>
      </x:c>
      <x:c r="D7" s="140" t="str">
        <x:v>LGD and EAD proxy models pass their synthetic validation thresholds. Recent cohorts do not report outcome-dependent metrics until labels mature. The 25% canary fails its operational gates, full rollout is blocked and the stable release is restored through five completed rollback controls.</x:v>
      </x:c>
    </x:row>
    <x:row r="8">
      <x:c r="A8" s="99" t="str">
        <x:v>Overall status</x:v>
      </x:c>
      <x:c r="B8" s="99" t="str">
        <x:v>CONDITIONAL PASS</x:v>
      </x:c>
    </x:row>
    <x:row r="9">
      <x:c r="A9" s="99" t="str">
        <x:v>Monitoring months</x:v>
      </x:c>
      <x:c r="B9" s="99" t="n">
        <x:v>17</x:v>
      </x:c>
    </x:row>
    <x:row r="10" ht="30" customHeight="1">
      <x:c r="A10" s="99" t="str">
        <x:v>Mature months</x:v>
      </x:c>
      <x:c r="B10" s="99" t="n">
        <x:v>4</x:v>
      </x:c>
      <x:c r="D10" s="136" t="str">
        <x:v>Decision</x:v>
      </x:c>
    </x:row>
    <x:row r="11" ht="70" customHeight="1">
      <x:c r="A11" s="99" t="str">
        <x:v>LGD validation</x:v>
      </x:c>
      <x:c r="B11" s="99" t="str">
        <x:v>PASS</x:v>
      </x:c>
      <x:c r="D11" s="144" t="str">
        <x:v>CONDITIONAL PASS. Use the workflow as portfolio evidence only. Replace synthetic recovery, utilization and macroeconomic assumptions before bank deployment or financial reporting.</x:v>
      </x:c>
    </x:row>
    <x:row r="12">
      <x:c r="A12" s="99" t="str">
        <x:v>EAD validation</x:v>
      </x:c>
      <x:c r="B12" s="99" t="str">
        <x:v>PASS</x:v>
      </x:c>
    </x:row>
    <x:row r="13">
      <x:c r="A13" s="99" t="str">
        <x:v>Weighted ECL</x:v>
      </x:c>
      <x:c r="B13" s="123" t="n">
        <x:v>16742481517.980267</x:v>
      </x:c>
    </x:row>
    <x:row r="14">
      <x:c r="A14" s="99" t="str">
        <x:v>Stage 2–3 share</x:v>
      </x:c>
      <x:c r="B14" s="102" t="n">
        <x:v>0.2775</x:v>
      </x:c>
    </x:row>
    <x:row r="15">
      <x:c r="A15" s="100" t="str">
        <x:v>Rollout status</x:v>
      </x:c>
      <x:c r="B15" s="100" t="str">
        <x:v>ROLLED BACK SAFELY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7" hidden="0" customWidth="1"/>
  </x:cols>
  <x:sheetData>
    <x:row r="2" ht="25" customHeight="1">
      <x:c r="A2" s="88" t="str">
        <x:v>Delayed-Outcome Model Monitoring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Outcome-dependent metrics appear only after the 12-month observation window matures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Month</x:v>
      </x:c>
      <x:c r="B6" s="136" t="str">
        <x:v>Applications</x:v>
      </x:c>
      <x:c r="C6" s="136" t="str">
        <x:v>Label maturity</x:v>
      </x:c>
      <x:c r="D6" s="136" t="str">
        <x:v>Mean PD</x:v>
      </x:c>
      <x:c r="E6" s="136" t="str">
        <x:v>Observed bad rate</x:v>
      </x:c>
      <x:c r="F6" s="136" t="str">
        <x:v>AUC</x:v>
      </x:c>
      <x:c r="G6" s="136" t="str">
        <x:v>KS</x:v>
      </x:c>
      <x:c r="H6" s="136" t="str">
        <x:v>Calibration gap</x:v>
      </x:c>
      <x:c r="I6" s="136" t="str">
        <x:v>Score PSI</x:v>
      </x:c>
      <x:c r="J6" s="136" t="str">
        <x:v>Status</x:v>
      </x:c>
      <x:c r="K6" s="136" t="str">
        <x:v>Action</x:v>
      </x:c>
    </x:row>
    <x:row r="7">
      <x:c r="A7" s="98" t="str">
        <x:v>2024-01</x:v>
      </x:c>
      <x:c r="B7" s="98" t="n">
        <x:v>744</x:v>
      </x:c>
      <x:c r="C7" s="120" t="n">
        <x:v>1</x:v>
      </x:c>
      <x:c r="D7" s="120" t="n">
        <x:v>0.13406692310043541</x:v>
      </x:c>
      <x:c r="E7" s="120" t="n">
        <x:v>0.13844086021505375</x:v>
      </x:c>
      <x:c r="F7" s="120" t="n">
        <x:v>0.7109795071414508</x:v>
      </x:c>
      <x:c r="G7" s="120" t="n">
        <x:v>0.338685003710828</x:v>
      </x:c>
      <x:c r="H7" s="120" t="n">
        <x:v>-0.004373937114618337</x:v>
      </x:c>
      <x:c r="I7" s="120" t="n">
        <x:v>0.010011912769006365</x:v>
      </x:c>
      <x:c r="J7" s="98" t="str">
        <x:v>GREEN</x:v>
      </x:c>
      <x:c r="K7" s="98" t="str">
        <x:v>Continue routine monitoring</x:v>
      </x:c>
    </x:row>
    <x:row r="8">
      <x:c r="A8" s="99" t="str">
        <x:v>2024-02</x:v>
      </x:c>
      <x:c r="B8" s="99" t="n">
        <x:v>696</x:v>
      </x:c>
      <x:c r="C8" s="102" t="n">
        <x:v>1</x:v>
      </x:c>
      <x:c r="D8" s="102" t="n">
        <x:v>0.1331075065131946</x:v>
      </x:c>
      <x:c r="E8" s="102" t="n">
        <x:v>0.13505747126436782</x:v>
      </x:c>
      <x:c r="F8" s="102" t="n">
        <x:v>0.7132254188167102</x:v>
      </x:c>
      <x:c r="G8" s="102" t="n">
        <x:v>0.40351311232063336</x:v>
      </x:c>
      <x:c r="H8" s="102" t="n">
        <x:v>-0.0019499647511732054</x:v>
      </x:c>
      <x:c r="I8" s="102" t="n">
        <x:v>0.009232733743495527</x:v>
      </x:c>
      <x:c r="J8" s="99" t="str">
        <x:v>GREEN</x:v>
      </x:c>
      <x:c r="K8" s="99" t="str">
        <x:v>Continue routine monitoring</x:v>
      </x:c>
    </x:row>
    <x:row r="9">
      <x:c r="A9" s="99" t="str">
        <x:v>2024-03</x:v>
      </x:c>
      <x:c r="B9" s="99" t="n">
        <x:v>744</x:v>
      </x:c>
      <x:c r="C9" s="102" t="n">
        <x:v>1</x:v>
      </x:c>
      <x:c r="D9" s="102" t="n">
        <x:v>0.12839376777437306</x:v>
      </x:c>
      <x:c r="E9" s="102" t="n">
        <x:v>0.135752688172043</x:v>
      </x:c>
      <x:c r="F9" s="102" t="n">
        <x:v>0.7020849052245816</x:v>
      </x:c>
      <x:c r="G9" s="102" t="n">
        <x:v>0.36439647075127424</x:v>
      </x:c>
      <x:c r="H9" s="102" t="n">
        <x:v>-0.0073589203976699435</x:v>
      </x:c>
      <x:c r="I9" s="102" t="n">
        <x:v>0.003458173206675865</x:v>
      </x:c>
      <x:c r="J9" s="99" t="str">
        <x:v>GREEN</x:v>
      </x:c>
      <x:c r="K9" s="99" t="str">
        <x:v>Continue routine monitoring</x:v>
      </x:c>
    </x:row>
    <x:row r="10">
      <x:c r="A10" s="99" t="str">
        <x:v>2024-04</x:v>
      </x:c>
      <x:c r="B10" s="99" t="n">
        <x:v>720</x:v>
      </x:c>
      <x:c r="C10" s="102" t="n">
        <x:v>1</x:v>
      </x:c>
      <x:c r="D10" s="102" t="n">
        <x:v>0.12598774199978655</x:v>
      </x:c>
      <x:c r="E10" s="102" t="n">
        <x:v>0.09861111111111111</x:v>
      </x:c>
      <x:c r="F10" s="102" t="n">
        <x:v>0.7115931335315437</x:v>
      </x:c>
      <x:c r="G10" s="102" t="n">
        <x:v>0.35601901082922804</x:v>
      </x:c>
      <x:c r="H10" s="102" t="n">
        <x:v>0.027376630888675438</x:v>
      </x:c>
      <x:c r="I10" s="102" t="n">
        <x:v>0.013546789427277526</x:v>
      </x:c>
      <x:c r="J10" s="99" t="str">
        <x:v>GREEN</x:v>
      </x:c>
      <x:c r="K10" s="99" t="str">
        <x:v>Continue routine monitoring</x:v>
      </x:c>
    </x:row>
    <x:row r="11">
      <x:c r="A11" s="99" t="str">
        <x:v>2024-05</x:v>
      </x:c>
      <x:c r="B11" s="99" t="n">
        <x:v>744</x:v>
      </x:c>
      <x:c r="C11" s="102" t="n">
        <x:v>0.4206989247311828</x:v>
      </x:c>
      <x:c r="D11" s="102" t="n">
        <x:v>0.13332478933373712</x:v>
      </x:c>
      <x:c r="E11" s="102" t="n">
        <x:v>0.12460063897763578</x:v>
      </x:c>
      <x:c r="F11" s="102" t="n">
        <x:v>0.7271195957327344</x:v>
      </x:c>
      <x:c r="G11" s="102" t="n">
        <x:v>0.45882463035747706</x:v>
      </x:c>
      <x:c r="H11" s="102" t="n">
        <x:v>0.010340571129062795</x:v>
      </x:c>
      <x:c r="I11" s="102" t="n">
        <x:v>0.013199966302887845</x:v>
      </x:c>
      <x:c r="J11" s="99" t="str">
        <x:v>PENDING</x:v>
      </x:c>
      <x:c r="K11" s="99" t="str">
        <x:v>Use leading indicators until labels mature</x:v>
      </x:c>
    </x:row>
    <x:row r="12">
      <x:c r="A12" s="99" t="str">
        <x:v>2024-06</x:v>
      </x:c>
      <x:c r="B12" s="99" t="n">
        <x:v>720</x:v>
      </x:c>
      <x:c r="C12" s="102" t="n">
        <x:v>0</x:v>
      </x:c>
      <x:c r="D12" s="102" t="n">
        <x:v>0.12823923709398766</x:v>
      </x:c>
      <x:c r="E12" s="102"/>
      <x:c r="F12" s="102"/>
      <x:c r="G12" s="102"/>
      <x:c r="H12" s="102"/>
      <x:c r="I12" s="102" t="n">
        <x:v>0.016256172403043473</x:v>
      </x:c>
      <x:c r="J12" s="99" t="str">
        <x:v>PENDING</x:v>
      </x:c>
      <x:c r="K12" s="99" t="str">
        <x:v>Use leading indicators until labels mature</x:v>
      </x:c>
    </x:row>
    <x:row r="13">
      <x:c r="A13" s="99" t="str">
        <x:v>2024-07</x:v>
      </x:c>
      <x:c r="B13" s="99" t="n">
        <x:v>744</x:v>
      </x:c>
      <x:c r="C13" s="102" t="n">
        <x:v>0</x:v>
      </x:c>
      <x:c r="D13" s="102" t="n">
        <x:v>0.12598607691069566</x:v>
      </x:c>
      <x:c r="E13" s="102"/>
      <x:c r="F13" s="102"/>
      <x:c r="G13" s="102"/>
      <x:c r="H13" s="102"/>
      <x:c r="I13" s="102" t="n">
        <x:v>0.022414687980229796</x:v>
      </x:c>
      <x:c r="J13" s="99" t="str">
        <x:v>PENDING</x:v>
      </x:c>
      <x:c r="K13" s="99" t="str">
        <x:v>Use leading indicators until labels mature</x:v>
      </x:c>
    </x:row>
    <x:row r="14">
      <x:c r="A14" s="99" t="str">
        <x:v>2024-08</x:v>
      </x:c>
      <x:c r="B14" s="99" t="n">
        <x:v>744</x:v>
      </x:c>
      <x:c r="C14" s="102" t="n">
        <x:v>0</x:v>
      </x:c>
      <x:c r="D14" s="102" t="n">
        <x:v>0.12936632557917926</x:v>
      </x:c>
      <x:c r="E14" s="102"/>
      <x:c r="F14" s="102"/>
      <x:c r="G14" s="102"/>
      <x:c r="H14" s="102"/>
      <x:c r="I14" s="102" t="n">
        <x:v>0.010842322310736277</x:v>
      </x:c>
      <x:c r="J14" s="99" t="str">
        <x:v>PENDING</x:v>
      </x:c>
      <x:c r="K14" s="99" t="str">
        <x:v>Use leading indicators until labels mature</x:v>
      </x:c>
    </x:row>
    <x:row r="15">
      <x:c r="A15" s="99" t="str">
        <x:v>2024-09</x:v>
      </x:c>
      <x:c r="B15" s="99" t="n">
        <x:v>720</x:v>
      </x:c>
      <x:c r="C15" s="102" t="n">
        <x:v>0</x:v>
      </x:c>
      <x:c r="D15" s="102" t="n">
        <x:v>0.1331357320072498</x:v>
      </x:c>
      <x:c r="E15" s="102"/>
      <x:c r="F15" s="102"/>
      <x:c r="G15" s="102"/>
      <x:c r="H15" s="102"/>
      <x:c r="I15" s="102" t="n">
        <x:v>0.011842136892479588</x:v>
      </x:c>
      <x:c r="J15" s="99" t="str">
        <x:v>PENDING</x:v>
      </x:c>
      <x:c r="K15" s="99" t="str">
        <x:v>Use leading indicators until labels mature</x:v>
      </x:c>
    </x:row>
    <x:row r="16">
      <x:c r="A16" s="99" t="str">
        <x:v>2024-10</x:v>
      </x:c>
      <x:c r="B16" s="99" t="n">
        <x:v>744</x:v>
      </x:c>
      <x:c r="C16" s="102" t="n">
        <x:v>0</x:v>
      </x:c>
      <x:c r="D16" s="102" t="n">
        <x:v>0.130335942588563</x:v>
      </x:c>
      <x:c r="E16" s="102"/>
      <x:c r="F16" s="102"/>
      <x:c r="G16" s="102"/>
      <x:c r="H16" s="102"/>
      <x:c r="I16" s="102" t="n">
        <x:v>0.028669970571005315</x:v>
      </x:c>
      <x:c r="J16" s="99" t="str">
        <x:v>PENDING</x:v>
      </x:c>
      <x:c r="K16" s="99" t="str">
        <x:v>Use leading indicators until labels mature</x:v>
      </x:c>
    </x:row>
    <x:row r="17">
      <x:c r="A17" s="99" t="str">
        <x:v>2024-11</x:v>
      </x:c>
      <x:c r="B17" s="99" t="n">
        <x:v>720</x:v>
      </x:c>
      <x:c r="C17" s="102" t="n">
        <x:v>0</x:v>
      </x:c>
      <x:c r="D17" s="102" t="n">
        <x:v>0.12500658952601096</x:v>
      </x:c>
      <x:c r="E17" s="102"/>
      <x:c r="F17" s="102"/>
      <x:c r="G17" s="102"/>
      <x:c r="H17" s="102"/>
      <x:c r="I17" s="102" t="n">
        <x:v>0.02323547434984566</x:v>
      </x:c>
      <x:c r="J17" s="99" t="str">
        <x:v>PENDING</x:v>
      </x:c>
      <x:c r="K17" s="99" t="str">
        <x:v>Use leading indicators until labels mature</x:v>
      </x:c>
    </x:row>
    <x:row r="18">
      <x:c r="A18" s="99" t="str">
        <x:v>2024-12</x:v>
      </x:c>
      <x:c r="B18" s="99" t="n">
        <x:v>744</x:v>
      </x:c>
      <x:c r="C18" s="102" t="n">
        <x:v>0</x:v>
      </x:c>
      <x:c r="D18" s="102" t="n">
        <x:v>0.1314139250160869</x:v>
      </x:c>
      <x:c r="E18" s="102"/>
      <x:c r="F18" s="102"/>
      <x:c r="G18" s="102"/>
      <x:c r="H18" s="102"/>
      <x:c r="I18" s="102" t="n">
        <x:v>0.01402971852848108</x:v>
      </x:c>
      <x:c r="J18" s="99" t="str">
        <x:v>PENDING</x:v>
      </x:c>
      <x:c r="K18" s="99" t="str">
        <x:v>Use leading indicators until labels mature</x:v>
      </x:c>
    </x:row>
    <x:row r="19">
      <x:c r="A19" s="99" t="str">
        <x:v>2025-01</x:v>
      </x:c>
      <x:c r="B19" s="99" t="n">
        <x:v>744</x:v>
      </x:c>
      <x:c r="C19" s="102" t="n">
        <x:v>0</x:v>
      </x:c>
      <x:c r="D19" s="102" t="n">
        <x:v>0.13140611937096483</x:v>
      </x:c>
      <x:c r="E19" s="102"/>
      <x:c r="F19" s="102"/>
      <x:c r="G19" s="102"/>
      <x:c r="H19" s="102"/>
      <x:c r="I19" s="102" t="n">
        <x:v>0.006858028067876926</x:v>
      </x:c>
      <x:c r="J19" s="99" t="str">
        <x:v>PENDING</x:v>
      </x:c>
      <x:c r="K19" s="99" t="str">
        <x:v>Use leading indicators until labels mature</x:v>
      </x:c>
    </x:row>
    <x:row r="20">
      <x:c r="A20" s="99" t="str">
        <x:v>2025-02</x:v>
      </x:c>
      <x:c r="B20" s="99" t="n">
        <x:v>672</x:v>
      </x:c>
      <x:c r="C20" s="102" t="n">
        <x:v>0</x:v>
      </x:c>
      <x:c r="D20" s="102" t="n">
        <x:v>0.13714714338731035</x:v>
      </x:c>
      <x:c r="E20" s="102"/>
      <x:c r="F20" s="102"/>
      <x:c r="G20" s="102"/>
      <x:c r="H20" s="102"/>
      <x:c r="I20" s="102" t="n">
        <x:v>0.02025786022568559</x:v>
      </x:c>
      <x:c r="J20" s="99" t="str">
        <x:v>PENDING</x:v>
      </x:c>
      <x:c r="K20" s="99" t="str">
        <x:v>Use leading indicators until labels mature</x:v>
      </x:c>
    </x:row>
    <x:row r="21">
      <x:c r="A21" s="99" t="str">
        <x:v>2025-03</x:v>
      </x:c>
      <x:c r="B21" s="99" t="n">
        <x:v>744</x:v>
      </x:c>
      <x:c r="C21" s="102" t="n">
        <x:v>0</x:v>
      </x:c>
      <x:c r="D21" s="102" t="n">
        <x:v>0.13315170134867732</x:v>
      </x:c>
      <x:c r="E21" s="102"/>
      <x:c r="F21" s="102"/>
      <x:c r="G21" s="102"/>
      <x:c r="H21" s="102"/>
      <x:c r="I21" s="102" t="n">
        <x:v>0.006821404040291932</x:v>
      </x:c>
      <x:c r="J21" s="99" t="str">
        <x:v>PENDING</x:v>
      </x:c>
      <x:c r="K21" s="99" t="str">
        <x:v>Use leading indicators until labels mature</x:v>
      </x:c>
    </x:row>
    <x:row r="22">
      <x:c r="A22" s="99" t="str">
        <x:v>2025-04</x:v>
      </x:c>
      <x:c r="B22" s="99" t="n">
        <x:v>720</x:v>
      </x:c>
      <x:c r="C22" s="102" t="n">
        <x:v>0</x:v>
      </x:c>
      <x:c r="D22" s="102" t="n">
        <x:v>0.13230087775674315</x:v>
      </x:c>
      <x:c r="E22" s="102"/>
      <x:c r="F22" s="102"/>
      <x:c r="G22" s="102"/>
      <x:c r="H22" s="102"/>
      <x:c r="I22" s="102" t="n">
        <x:v>0.030528901185534522</x:v>
      </x:c>
      <x:c r="J22" s="99" t="str">
        <x:v>PENDING</x:v>
      </x:c>
      <x:c r="K22" s="99" t="str">
        <x:v>Use leading indicators until labels mature</x:v>
      </x:c>
    </x:row>
    <x:row r="23">
      <x:c r="A23" s="100" t="str">
        <x:v>2025-05</x:v>
      </x:c>
      <x:c r="B23" s="100" t="n">
        <x:v>336</x:v>
      </x:c>
      <x:c r="C23" s="121" t="n">
        <x:v>0</x:v>
      </x:c>
      <x:c r="D23" s="121" t="n">
        <x:v>0.1324936335930023</x:v>
      </x:c>
      <x:c r="E23" s="121"/>
      <x:c r="F23" s="121"/>
      <x:c r="G23" s="121"/>
      <x:c r="H23" s="121"/>
      <x:c r="I23" s="121" t="n">
        <x:v>0.02075250404092226</x:v>
      </x:c>
      <x:c r="J23" s="100" t="str">
        <x:v>PENDING</x:v>
      </x:c>
      <x:c r="K23" s="100" t="str">
        <x:v>Use leading indicators until labels mature</x:v>
      </x:c>
    </x:row>
  </x:sheetData>
  <x:conditionalFormatting sqref="J7:J23">
    <x:cfRule type="containsText" dxfId="7" priority="1" operator="containsText" text="RED"/>
    <x:cfRule type="containsText" dxfId="8" priority="2" operator="containsText" text="AMBER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</x:cols>
  <x:sheetData>
    <x:row r="2" ht="25" customHeight="1">
      <x:c r="A2" s="88" t="str">
        <x:v>IFRS 9 PD–LGD–EAD and Macroeconomic Scenarios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Edit scenario weights in blue; weights must total 100%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Scenario</x:v>
      </x:c>
      <x:c r="B6" s="136" t="str">
        <x:v>Weight</x:v>
      </x:c>
      <x:c r="C6" s="136" t="str">
        <x:v>GDP growth</x:v>
      </x:c>
      <x:c r="D6" s="136" t="str">
        <x:v>Unemployment</x:v>
      </x:c>
      <x:c r="E6" s="136" t="str">
        <x:v>Policy rate</x:v>
      </x:c>
      <x:c r="F6" s="136" t="str">
        <x:v>PD odds multiplier</x:v>
      </x:c>
      <x:c r="G6" s="136" t="str">
        <x:v>LGD add-on</x:v>
      </x:c>
      <x:c r="H6" s="136" t="str">
        <x:v>Total EAD</x:v>
      </x:c>
      <x:c r="I6" s="136" t="str">
        <x:v>Scenario ECL</x:v>
      </x:c>
    </x:row>
    <x:row r="7">
      <x:c r="A7" s="98" t="str">
        <x:v>Upside</x:v>
      </x:c>
      <x:c r="B7" s="151" t="n">
        <x:v>0.2</x:v>
      </x:c>
      <x:c r="C7" s="120" t="n">
        <x:v>0.07</x:v>
      </x:c>
      <x:c r="D7" s="120" t="n">
        <x:v>0.02</x:v>
      </x:c>
      <x:c r="E7" s="120" t="n">
        <x:v>0.04</x:v>
      </x:c>
      <x:c r="F7" s="98" t="n">
        <x:v>0.85</x:v>
      </x:c>
      <x:c r="G7" s="120" t="n">
        <x:v>-0.03</x:v>
      </x:c>
      <x:c r="H7" s="122" t="n">
        <x:v>119791035946.00287</x:v>
      </x:c>
      <x:c r="I7" s="122" t="n">
        <x:v>13823554150.24054</x:v>
      </x:c>
    </x:row>
    <x:row r="8">
      <x:c r="A8" s="99" t="str">
        <x:v>Base</x:v>
      </x:c>
      <x:c r="B8" s="152" t="n">
        <x:v>0.5</x:v>
      </x:c>
      <x:c r="C8" s="102" t="n">
        <x:v>0.06</x:v>
      </x:c>
      <x:c r="D8" s="102" t="n">
        <x:v>0.025</x:v>
      </x:c>
      <x:c r="E8" s="102" t="n">
        <x:v>0.045</x:v>
      </x:c>
      <x:c r="F8" s="99" t="n">
        <x:v>1</x:v>
      </x:c>
      <x:c r="G8" s="102" t="n">
        <x:v>0</x:v>
      </x:c>
      <x:c r="H8" s="123" t="n">
        <x:v>119791035946.00287</x:v>
      </x:c>
      <x:c r="I8" s="123" t="n">
        <x:v>15551959064.32417</x:v>
      </x:c>
    </x:row>
    <x:row r="9">
      <x:c r="A9" s="100" t="str">
        <x:v>Downside</x:v>
      </x:c>
      <x:c r="B9" s="153" t="n">
        <x:v>0.3</x:v>
      </x:c>
      <x:c r="C9" s="121" t="n">
        <x:v>0.035</x:v>
      </x:c>
      <x:c r="D9" s="121" t="n">
        <x:v>0.04</x:v>
      </x:c>
      <x:c r="E9" s="121" t="n">
        <x:v>0.06</x:v>
      </x:c>
      <x:c r="F9" s="100" t="n">
        <x:v>1.45</x:v>
      </x:c>
      <x:c r="G9" s="121" t="n">
        <x:v>0.08</x:v>
      </x:c>
      <x:c r="H9" s="103" t="n">
        <x:v>119791035946.00287</x:v>
      </x:c>
      <x:c r="I9" s="103" t="n">
        <x:v>20672637185.90025</x:v>
      </x:c>
    </x:row>
    <x:row r="11" ht="30" customHeight="1">
      <x:c r="A11" s="136" t="str">
        <x:v>Control</x:v>
      </x:c>
      <x:c r="B11" s="136" t="str">
        <x:v>Result</x:v>
      </x:c>
    </x:row>
    <x:row r="12">
      <x:c r="A12" t="str">
        <x:v>Weight total</x:v>
      </x:c>
      <x:c r="B12" s="124" t="n">
        <x:f>SUM(B7:B9)</x:f>
        <x:v>1</x:v>
      </x:c>
    </x:row>
    <x:row r="13">
      <x:c r="A13" t="str">
        <x:v>Probability-weighted ECL</x:v>
      </x:c>
      <x:c r="B13" s="125" t="n">
        <x:f>SUMPRODUCT(B7:B9,I7:I9)</x:f>
        <x:v>16742481517.980268</x:v>
      </x:c>
    </x:row>
    <x:row r="16" ht="30" customHeight="1">
      <x:c r="A16" s="136" t="str">
        <x:v>Stage</x:v>
      </x:c>
      <x:c r="B16" s="136" t="str">
        <x:v>Accounts</x:v>
      </x:c>
      <x:c r="C16" s="136" t="str">
        <x:v>Mean PD</x:v>
      </x:c>
      <x:c r="D16" s="136" t="str">
        <x:v>Mean LGD</x:v>
      </x:c>
      <x:c r="E16" s="136" t="str">
        <x:v>Total EAD</x:v>
      </x:c>
      <x:c r="F16" s="136" t="str">
        <x:v>Weighted ECL</x:v>
      </x:c>
      <x:c r="H16" s="136" t="str">
        <x:v>Component</x:v>
      </x:c>
      <x:c r="I16" s="136" t="str">
        <x:v>Validation</x:v>
      </x:c>
    </x:row>
    <x:row r="17">
      <x:c r="A17" s="98" t="str">
        <x:v>Stage 1</x:v>
      </x:c>
      <x:c r="B17" s="98" t="n">
        <x:v>1734</x:v>
      </x:c>
      <x:c r="C17" s="120" t="n">
        <x:v>0.11589071202232072</x:v>
      </x:c>
      <x:c r="D17" s="120" t="n">
        <x:v>0.4361985160336805</x:v>
      </x:c>
      <x:c r="E17" s="122" t="n">
        <x:v>85228598819.86734</x:v>
      </x:c>
      <x:c r="F17" s="122" t="n">
        <x:v>5400981996.0181675</x:v>
      </x:c>
      <x:c r="H17" s="98" t="str">
        <x:v>LGD status</x:v>
      </x:c>
      <x:c r="I17" s="98" t="str">
        <x:v>PASS</x:v>
      </x:c>
    </x:row>
    <x:row r="18">
      <x:c r="A18" s="99" t="str">
        <x:v>Stage 2</x:v>
      </x:c>
      <x:c r="B18" s="99" t="n">
        <x:v>348</x:v>
      </x:c>
      <x:c r="C18" s="102" t="n">
        <x:v>0.17580169388206887</x:v>
      </x:c>
      <x:c r="D18" s="102" t="n">
        <x:v>0.5855640308881879</x:v>
      </x:c>
      <x:c r="E18" s="123" t="n">
        <x:v>17669096948.607224</x:v>
      </x:c>
      <x:c r="F18" s="123" t="n">
        <x:v>2884136450.0839586</x:v>
      </x:c>
      <x:c r="H18" s="99" t="str">
        <x:v>LGD MAE</x:v>
      </x:c>
      <x:c r="I18" s="101" t="n">
        <x:v>0.05795432937019979</x:v>
      </x:c>
    </x:row>
    <x:row r="19">
      <x:c r="A19" s="100" t="str">
        <x:v>Stage 3</x:v>
      </x:c>
      <x:c r="B19" s="100" t="n">
        <x:v>318</x:v>
      </x:c>
      <x:c r="C19" s="121" t="n">
        <x:v>0.1840353260519599</x:v>
      </x:c>
      <x:c r="D19" s="121" t="n">
        <x:v>0.5205743056737361</x:v>
      </x:c>
      <x:c r="E19" s="103" t="n">
        <x:v>16893340177.52831</x:v>
      </x:c>
      <x:c r="F19" s="103" t="n">
        <x:v>8457363071.878141</x:v>
      </x:c>
      <x:c r="H19" s="99" t="str">
        <x:v>LGD R-squared</x:v>
      </x:c>
      <x:c r="I19" s="101" t="n">
        <x:v>0.7846700439811771</x:v>
      </x:c>
    </x:row>
    <x:row r="20">
      <x:c r="H20" s="99" t="str">
        <x:v>EAD status</x:v>
      </x:c>
      <x:c r="I20" s="101" t="str">
        <x:v>PASS</x:v>
      </x:c>
    </x:row>
    <x:row r="21">
      <x:c r="H21" s="100" t="str">
        <x:v>EAD MAE</x:v>
      </x:c>
      <x:c r="I21" s="113" t="n">
        <x:v>0.028775702042834604</x:v>
      </x:c>
    </x:row>
  </x:sheetData>
  <x:conditionalFormatting sqref="B12:B12">
    <x:cfRule type="cellIs" dxfId="9" priority="1" operator="notEqual">
      <x:formula>1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33" hidden="0" customWidth="1"/>
    <x:col min="4" max="4" width="33" hidden="0" customWidth="1"/>
    <x:col min="5" max="5" width="17" hidden="0" customWidth="1"/>
    <x:col min="6" max="6" width="17" hidden="0" customWidth="1"/>
    <x:col min="7" max="7" width="17" hidden="0" customWidth="1"/>
    <x:col min="8" max="8" width="45" hidden="0" customWidth="1"/>
  </x:cols>
  <x:sheetData>
    <x:row r="2" ht="25" customHeight="1">
      <x:c r="A2" s="88" t="str">
        <x:v>Shadow, Canary and Rollback Controls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Rollout proceeds only when score, decision, latency and error gates pass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Phase</x:v>
      </x:c>
      <x:c r="B6" s="136" t="str">
        <x:v>Traffic share</x:v>
      </x:c>
      <x:c r="C6" s="136" t="str">
        <x:v>Score match</x:v>
      </x:c>
      <x:c r="D6" s="136" t="str">
        <x:v>Decision match</x:v>
      </x:c>
      <x:c r="E6" s="136" t="str">
        <x:v>p95 latency ms</x:v>
      </x:c>
      <x:c r="F6" s="136" t="str">
        <x:v>Error rate</x:v>
      </x:c>
      <x:c r="G6" s="136" t="str">
        <x:v>Status</x:v>
      </x:c>
      <x:c r="H6" s="136" t="str">
        <x:v>Next action</x:v>
      </x:c>
    </x:row>
    <x:row r="7">
      <x:c r="A7" s="98" t="str">
        <x:v>Shadow</x:v>
      </x:c>
      <x:c r="B7" s="120" t="n">
        <x:v>0</x:v>
      </x:c>
      <x:c r="C7" s="120" t="n">
        <x:v>1</x:v>
      </x:c>
      <x:c r="D7" s="120" t="n">
        <x:v>1</x:v>
      </x:c>
      <x:c r="E7" s="98" t="n">
        <x:v>11.2</x:v>
      </x:c>
      <x:c r="F7" s="120" t="n">
        <x:v>0</x:v>
      </x:c>
      <x:c r="G7" s="98" t="str">
        <x:v>PASS</x:v>
      </x:c>
      <x:c r="H7" s="98" t="str">
        <x:v>Start 5% canary</x:v>
      </x:c>
    </x:row>
    <x:row r="8">
      <x:c r="A8" s="99" t="str">
        <x:v>Canary 5%</x:v>
      </x:c>
      <x:c r="B8" s="102" t="n">
        <x:v>0.05</x:v>
      </x:c>
      <x:c r="C8" s="102" t="n">
        <x:v>0.999</x:v>
      </x:c>
      <x:c r="D8" s="102" t="n">
        <x:v>0.998</x:v>
      </x:c>
      <x:c r="E8" s="99" t="n">
        <x:v>13.8</x:v>
      </x:c>
      <x:c r="F8" s="102" t="n">
        <x:v>0.001</x:v>
      </x:c>
      <x:c r="G8" s="99" t="str">
        <x:v>PASS</x:v>
      </x:c>
      <x:c r="H8" s="99" t="str">
        <x:v>Expand to 25%</x:v>
      </x:c>
    </x:row>
    <x:row r="9">
      <x:c r="A9" s="99" t="str">
        <x:v>Canary 25%</x:v>
      </x:c>
      <x:c r="B9" s="102" t="n">
        <x:v>0.25</x:v>
      </x:c>
      <x:c r="C9" s="102" t="n">
        <x:v>0.998</x:v>
      </x:c>
      <x:c r="D9" s="102" t="n">
        <x:v>0.973</x:v>
      </x:c>
      <x:c r="E9" s="99" t="n">
        <x:v>148</x:v>
      </x:c>
      <x:c r="F9" s="102" t="n">
        <x:v>0.027</x:v>
      </x:c>
      <x:c r="G9" s="99" t="str">
        <x:v>ROLLBACK</x:v>
      </x:c>
      <x:c r="H9" s="99" t="str">
        <x:v>Restore stable release and open incident</x:v>
      </x:c>
    </x:row>
    <x:row r="10">
      <x:c r="A10" s="100" t="str">
        <x:v>Full production</x:v>
      </x:c>
      <x:c r="B10" s="121" t="n">
        <x:v>1</x:v>
      </x:c>
      <x:c r="C10" s="121"/>
      <x:c r="D10" s="121"/>
      <x:c r="E10" s="100"/>
      <x:c r="F10" s="121"/>
      <x:c r="G10" s="100" t="str">
        <x:v>BLOCKED</x:v>
      </x:c>
      <x:c r="H10" s="100" t="str">
        <x:v>Close incident and repeat canary</x:v>
      </x:c>
    </x:row>
    <x:row r="14" ht="30" customHeight="1">
      <x:c r="A14" s="136" t="str">
        <x:v>Step</x:v>
      </x:c>
      <x:c r="B14" s="136" t="str">
        <x:v>Control</x:v>
      </x:c>
      <x:c r="C14" s="136" t="str">
        <x:v>Evidence</x:v>
      </x:c>
      <x:c r="D14" s="136" t="str">
        <x:v>Owner</x:v>
      </x:c>
      <x:c r="E14" s="136" t="str">
        <x:v>Status</x:v>
      </x:c>
    </x:row>
    <x:row r="15">
      <x:c r="A15" s="98" t="n">
        <x:v>1</x:v>
      </x:c>
      <x:c r="B15" s="98" t="str">
        <x:v>Stop traffic expansion</x:v>
      </x:c>
      <x:c r="C15" s="98" t="str">
        <x:v>Deployment gate changed to ROLLBACK</x:v>
      </x:c>
      <x:c r="D15" s="98" t="str">
        <x:v>Release Manager</x:v>
      </x:c>
      <x:c r="E15" s="98" t="str">
        <x:v>PASS</x:v>
      </x:c>
    </x:row>
    <x:row r="16">
      <x:c r="A16" s="99" t="n">
        <x:v>2</x:v>
      </x:c>
      <x:c r="B16" s="99" t="str">
        <x:v>Restore stable model and policy</x:v>
      </x:c>
      <x:c r="C16" s="99" t="str">
        <x:v>RCS_PD_4.0 / RETAIL_POLICY_1.0 active</x:v>
      </x:c>
      <x:c r="D16" s="99" t="str">
        <x:v>Model Owner</x:v>
      </x:c>
      <x:c r="E16" s="99" t="str">
        <x:v>PASS</x:v>
      </x:c>
    </x:row>
    <x:row r="17">
      <x:c r="A17" s="99" t="n">
        <x:v>3</x:v>
      </x:c>
      <x:c r="B17" s="99" t="str">
        <x:v>Reconcile scores and decisions</x:v>
      </x:c>
      <x:c r="C17" s="99" t="str">
        <x:v>1,000 records; maximum PD gap below 1e-6</x:v>
      </x:c>
      <x:c r="D17" s="99" t="str">
        <x:v>Validation</x:v>
      </x:c>
      <x:c r="E17" s="99" t="str">
        <x:v>PASS</x:v>
      </x:c>
    </x:row>
    <x:row r="18">
      <x:c r="A18" s="99" t="n">
        <x:v>4</x:v>
      </x:c>
      <x:c r="B18" s="99" t="str">
        <x:v>Verify service recovery</x:v>
      </x:c>
      <x:c r="C18" s="99" t="str">
        <x:v>p95 latency 12.4 ms; error rate 0.0%</x:v>
      </x:c>
      <x:c r="D18" s="99" t="str">
        <x:v>Platform Engineering</x:v>
      </x:c>
      <x:c r="E18" s="99" t="str">
        <x:v>PASS</x:v>
      </x:c>
    </x:row>
    <x:row r="19">
      <x:c r="A19" s="100" t="n">
        <x:v>5</x:v>
      </x:c>
      <x:c r="B19" s="100" t="str">
        <x:v>Record incident and remediation</x:v>
      </x:c>
      <x:c r="C19" s="100" t="str">
        <x:v>INC-2026-001 and INC-2026-002 closed</x:v>
      </x:c>
      <x:c r="D19" s="100" t="str">
        <x:v>Operational Risk</x:v>
      </x:c>
      <x:c r="E19" s="100" t="str">
        <x:v>PASS</x:v>
      </x:c>
    </x:row>
  </x:sheetData>
  <x:conditionalFormatting sqref="G7:G10">
    <x:cfRule type="containsText" dxfId="10" priority="1" operator="containsText" text="ROLLBACK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20" hidden="0" customWidth="1"/>
    <x:col min="8" max="8" width="48" hidden="0" customWidth="1"/>
    <x:col min="9" max="9" width="15" hidden="0" customWidth="1"/>
    <x:col min="10" max="10" width="15" hidden="0" customWidth="1"/>
  </x:cols>
  <x:sheetData>
    <x:row r="2" ht="25" customHeight="1">
      <x:c r="A2" s="88" t="str">
        <x:v>Model and Deployment Incident Register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 ht="20" customHeight="1">
      <x:c r="A3" s="89" t="str">
        <x:v>Each alert has a severity, accountable owner, remediation action and response SLA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90"/>
      <x:c r="B4" s="90"/>
      <x:c r="C4" s="90"/>
      <x:c r="D4" s="90"/>
      <x:c r="E4" s="90"/>
      <x:c r="F4" s="90"/>
      <x:c r="G4" s="90"/>
      <x:c r="H4" s="90"/>
      <x:c r="I4" s="90"/>
      <x:c r="J4" s="90"/>
    </x:row>
    <x:row r="6" ht="30" customHeight="1">
      <x:c r="A6" s="136" t="str">
        <x:v>Incident ID</x:v>
      </x:c>
      <x:c r="B6" s="136" t="str">
        <x:v>Signal</x:v>
      </x:c>
      <x:c r="C6" s="136" t="str">
        <x:v>Observed</x:v>
      </x:c>
      <x:c r="D6" s="136" t="str">
        <x:v>Amber threshold</x:v>
      </x:c>
      <x:c r="E6" s="136" t="str">
        <x:v>Red threshold</x:v>
      </x:c>
      <x:c r="F6" s="136" t="str">
        <x:v>Severity</x:v>
      </x:c>
      <x:c r="G6" s="136" t="str">
        <x:v>Owner</x:v>
      </x:c>
      <x:c r="H6" s="136" t="str">
        <x:v>Action</x:v>
      </x:c>
      <x:c r="I6" s="136" t="str">
        <x:v>SLA hours</x:v>
      </x:c>
      <x:c r="J6" s="136" t="str">
        <x:v>Status</x:v>
      </x:c>
    </x:row>
    <x:row r="7">
      <x:c r="A7" s="98" t="str">
        <x:v>INC-2026-001</x:v>
      </x:c>
      <x:c r="B7" s="98" t="str">
        <x:v>API p95 latency</x:v>
      </x:c>
      <x:c r="C7" s="98" t="n">
        <x:v>148</x:v>
      </x:c>
      <x:c r="D7" s="98" t="n">
        <x:v>75</x:v>
      </x:c>
      <x:c r="E7" s="98" t="n">
        <x:v>120</x:v>
      </x:c>
      <x:c r="F7" s="98" t="str">
        <x:v>HIGH</x:v>
      </x:c>
      <x:c r="G7" s="98" t="str">
        <x:v>Platform Engineering</x:v>
      </x:c>
      <x:c r="H7" s="98" t="str">
        <x:v>Rollback V6 service image</x:v>
      </x:c>
      <x:c r="I7" s="98" t="n">
        <x:v>2</x:v>
      </x:c>
      <x:c r="J7" s="98" t="str">
        <x:v>CLOSED</x:v>
      </x:c>
    </x:row>
    <x:row r="8">
      <x:c r="A8" s="99" t="str">
        <x:v>INC-2026-002</x:v>
      </x:c>
      <x:c r="B8" s="99" t="str">
        <x:v>Decision mismatch rate</x:v>
      </x:c>
      <x:c r="C8" s="99" t="n">
        <x:v>0.027</x:v>
      </x:c>
      <x:c r="D8" s="99" t="n">
        <x:v>0.005</x:v>
      </x:c>
      <x:c r="E8" s="99" t="n">
        <x:v>0.01</x:v>
      </x:c>
      <x:c r="F8" s="99" t="str">
        <x:v>CRITICAL</x:v>
      </x:c>
      <x:c r="G8" s="99" t="str">
        <x:v>Model Owner</x:v>
      </x:c>
      <x:c r="H8" s="99" t="str">
        <x:v>Freeze rollout and reconcile policy version</x:v>
      </x:c>
      <x:c r="I8" s="99" t="n">
        <x:v>1</x:v>
      </x:c>
      <x:c r="J8" s="99" t="str">
        <x:v>CLOSED</x:v>
      </x:c>
    </x:row>
    <x:row r="9">
      <x:c r="A9" s="99" t="str">
        <x:v>INC-2026-003</x:v>
      </x:c>
      <x:c r="B9" s="99" t="str">
        <x:v>Bureau-score missing rate</x:v>
      </x:c>
      <x:c r="C9" s="99" t="n">
        <x:v>0.062</x:v>
      </x:c>
      <x:c r="D9" s="99" t="n">
        <x:v>0.02</x:v>
      </x:c>
      <x:c r="E9" s="99" t="n">
        <x:v>0.05</x:v>
      </x:c>
      <x:c r="F9" s="99" t="str">
        <x:v>HIGH</x:v>
      </x:c>
      <x:c r="G9" s="99" t="str">
        <x:v>Data Owner</x:v>
      </x:c>
      <x:c r="H9" s="99" t="str">
        <x:v>Activate input fallback and repair feed</x:v>
      </x:c>
      <x:c r="I9" s="99" t="n">
        <x:v>4</x:v>
      </x:c>
      <x:c r="J9" s="99" t="str">
        <x:v>MONITORING</x:v>
      </x:c>
    </x:row>
    <x:row r="10">
      <x:c r="A10" s="100" t="str">
        <x:v>INC-2026-004</x:v>
      </x:c>
      <x:c r="B10" s="100" t="str">
        <x:v>Score PSI</x:v>
      </x:c>
      <x:c r="C10" s="100" t="n">
        <x:v>0.281</x:v>
      </x:c>
      <x:c r="D10" s="100" t="n">
        <x:v>0.1</x:v>
      </x:c>
      <x:c r="E10" s="100" t="n">
        <x:v>0.25</x:v>
      </x:c>
      <x:c r="F10" s="100" t="str">
        <x:v>HIGH</x:v>
      </x:c>
      <x:c r="G10" s="100" t="str">
        <x:v>Model Monitoring</x:v>
      </x:c>
      <x:c r="H10" s="100" t="str">
        <x:v>Perform segment review and recalibration assessment</x:v>
      </x:c>
      <x:c r="I10" s="100" t="n">
        <x:v>24</x:v>
      </x:c>
      <x:c r="J10" s="100" t="str">
        <x:v>OPEN</x:v>
      </x:c>
    </x:row>
  </x:sheetData>
  <x:conditionalFormatting sqref="F7:F10">
    <x:cfRule type="containsText" dxfId="11" priority="1" operator="containsText" text="CRITICAL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2" ht="27" customHeight="1">
      <x:c r="A2" s="154" t="str">
        <x:v>V7 TNEX Digital Lending Decisioning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TNEX-aligned synthetic portfolio • configurable product policy • not an official TNEX model or affiliated implementation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Metric</x:v>
      </x:c>
      <x:c r="B6" s="160" t="str">
        <x:v>Result</x:v>
      </x:c>
      <x:c r="D6" s="160" t="str">
        <x:v>Executive decision</x:v>
      </x:c>
      <x:c r="E6" s="160"/>
      <x:c r="F6" s="160"/>
      <x:c r="G6" s="160"/>
      <x:c r="H6" s="160"/>
    </x:row>
    <x:row r="7">
      <x:c r="A7" s="167" t="str">
        <x:v>Build</x:v>
      </x:c>
      <x:c r="B7" s="167" t="str">
        <x:v>V7.0</x:v>
      </x:c>
      <x:c r="D7" s="175" t="str">
        <x:v>PASS — SIMULATION. The design supports Cash Loan, BNPL and Business Loan through separate policies, independent fraud and credit scores, and a measured digital funnel. P95 orchestration remains below the five-second target.</x:v>
      </x:c>
      <x:c r="E7" s="175"/>
      <x:c r="F7" s="175"/>
      <x:c r="G7" s="175"/>
      <x:c r="H7" s="175"/>
    </x:row>
    <x:row r="8">
      <x:c r="A8" s="168" t="str">
        <x:v>Applications</x:v>
      </x:c>
      <x:c r="B8" s="168" t="n">
        <x:v>2400</x:v>
      </x:c>
      <x:c r="D8" s="175"/>
      <x:c r="E8" s="175"/>
      <x:c r="F8" s="175"/>
      <x:c r="G8" s="175"/>
      <x:c r="H8" s="175"/>
    </x:row>
    <x:row r="9">
      <x:c r="A9" s="168" t="str">
        <x:v>Products</x:v>
      </x:c>
      <x:c r="B9" s="168" t="n">
        <x:v>3</x:v>
      </x:c>
      <x:c r="D9" s="175"/>
      <x:c r="E9" s="175"/>
      <x:c r="F9" s="175"/>
      <x:c r="G9" s="175"/>
      <x:c r="H9" s="175"/>
    </x:row>
    <x:row r="10">
      <x:c r="A10" s="168" t="str">
        <x:v>Approval rate</x:v>
      </x:c>
      <x:c r="B10" s="170" t="n">
        <x:v>0.7270833333333333</x:v>
      </x:c>
    </x:row>
    <x:row r="11" ht="28" customHeight="1">
      <x:c r="A11" s="168" t="str">
        <x:v>Fraud decline rate</x:v>
      </x:c>
      <x:c r="B11" s="170" t="n">
        <x:v>0.00125</x:v>
      </x:c>
      <x:c r="D11" s="160" t="str">
        <x:v>Production boundary</x:v>
      </x:c>
      <x:c r="E11" s="160"/>
      <x:c r="F11" s="160"/>
      <x:c r="G11" s="160"/>
      <x:c r="H11" s="160"/>
    </x:row>
    <x:row r="12">
      <x:c r="A12" s="168" t="str">
        <x:v>P95 end-to-end</x:v>
      </x:c>
      <x:c r="B12" s="171" t="n">
        <x:v>1554.39464447734</x:v>
      </x:c>
      <x:c r="D12" s="179" t="str">
        <x:v>Replace synthetic data and public product assumptions; complete consent/privacy review, independent validation, live calibration, legal/compliance approval, ledger integration, shadow scoring and canary release before production use.</x:v>
      </x:c>
      <x:c r="E12" s="179"/>
      <x:c r="F12" s="179"/>
      <x:c r="G12" s="179"/>
      <x:c r="H12" s="179"/>
    </x:row>
    <x:row r="13">
      <x:c r="A13" s="168" t="str">
        <x:v>Start-to-disbursement</x:v>
      </x:c>
      <x:c r="B13" s="170" t="n">
        <x:v>0.4995833333333333</x:v>
      </x:c>
      <x:c r="D13" s="179"/>
      <x:c r="E13" s="179"/>
      <x:c r="F13" s="179"/>
      <x:c r="G13" s="179"/>
      <x:c r="H13" s="179"/>
    </x:row>
    <x:row r="14">
      <x:c r="A14" s="169" t="str">
        <x:v>Status</x:v>
      </x:c>
      <x:c r="B14" s="169" t="str">
        <x:v>PASS — SIMULATION</x:v>
      </x:c>
      <x:c r="D14" s="179"/>
      <x:c r="E14" s="179"/>
      <x:c r="F14" s="179"/>
      <x:c r="G14" s="179"/>
      <x:c r="H14" s="179"/>
    </x:row>
  </x:sheetData>
  <x:mergeCells>
    <x:mergeCell ref="A2:J2"/>
    <x:mergeCell ref="A3:J3"/>
    <x:mergeCell ref="D6:H6"/>
    <x:mergeCell ref="D7:H9"/>
    <x:mergeCell ref="D11:H11"/>
    <x:mergeCell ref="D12:H14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 ht="27" customHeight="1">
      <x:c r="A2" s="154" t="str">
        <x:v>Product Policy and Decision Performance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Blue selector drives the formula-based executive view; limits and cut-offs are versioned assumptions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Selected product</x:v>
      </x:c>
      <x:c r="B6" s="181" t="str">
        <x:v>CASH_LOAN</x:v>
      </x:c>
      <x:c r="D6" s="160" t="str">
        <x:v>Applications</x:v>
      </x:c>
      <x:c r="E6" s="160" t="str">
        <x:v>Approval</x:v>
      </x:c>
      <x:c r="F6" s="160" t="str">
        <x:v>Fraud decline</x:v>
      </x:c>
      <x:c r="G6" s="160" t="str">
        <x:v>Approved limit</x:v>
      </x:c>
      <x:c r="H6" s="160" t="str">
        <x:v>P95 latency</x:v>
      </x:c>
    </x:row>
    <x:row r="7">
      <x:c r="D7" t="n">
        <x:f>SUMIF(A16:A18,B6,B16:B18)</x:f>
        <x:v>1329</x:v>
      </x:c>
      <x:c r="E7" s="124" t="n">
        <x:f>SUMIF(A16:A18,B6,C16:C18)</x:f>
        <x:v>0.7434161023325809</x:v>
      </x:c>
      <x:c r="F7" s="124" t="n">
        <x:f>SUMIF(A16:A18,B6,E16:E18)</x:f>
        <x:v>0.0007524454477050414</x:v>
      </x:c>
      <x:c r="G7" s="125" t="n">
        <x:f>SUMIF(A16:A18,B6,G16:G18)</x:f>
        <x:v>36444094895.94336</x:v>
      </x:c>
      <x:c r="H7" s="189" t="n">
        <x:f>SUMIF(A16:A18,B6,H16:H18)</x:f>
        <x:v>1554.4880939518785</x:v>
      </x:c>
    </x:row>
    <x:row r="9" ht="28" customHeight="1">
      <x:c r="A9" s="160" t="str">
        <x:v>Product</x:v>
      </x:c>
      <x:c r="B9" s="160" t="str">
        <x:v>Label</x:v>
      </x:c>
      <x:c r="C9" s="160" t="str">
        <x:v>Max limit</x:v>
      </x:c>
      <x:c r="D9" s="160" t="str">
        <x:v>Approve PD</x:v>
      </x:c>
      <x:c r="E9" s="160" t="str">
        <x:v>Review PD</x:v>
      </x:c>
      <x:c r="F9" s="160" t="str">
        <x:v>Fraud max</x:v>
      </x:c>
      <x:c r="G9" s="160" t="str">
        <x:v>Policy version</x:v>
      </x:c>
      <x:c r="H9" s="160" t="str">
        <x:v>Effective date</x:v>
      </x:c>
    </x:row>
    <x:row r="10">
      <x:c r="A10" s="167" t="str">
        <x:v>CASH_LOAN</x:v>
      </x:c>
      <x:c r="B10" s="167" t="str">
        <x:v>Cash Loan</x:v>
      </x:c>
      <x:c r="C10" s="182" t="n">
        <x:v>70000000</x:v>
      </x:c>
      <x:c r="D10" s="185" t="n">
        <x:v>0.12</x:v>
      </x:c>
      <x:c r="E10" s="185" t="n">
        <x:v>0.2</x:v>
      </x:c>
      <x:c r="F10" s="185" t="n">
        <x:v>0.35</x:v>
      </x:c>
      <x:c r="G10" s="167" t="str">
        <x:v>TNEX_SIM_1.0</x:v>
      </x:c>
      <x:c r="H10" s="167" t="str">
        <x:v>2026-09-24</x:v>
      </x:c>
    </x:row>
    <x:row r="11">
      <x:c r="A11" s="168" t="str">
        <x:v>BNPL</x:v>
      </x:c>
      <x:c r="B11" s="168" t="str">
        <x:v>Buy Now Pay Later</x:v>
      </x:c>
      <x:c r="C11" s="183" t="n">
        <x:v>25000000</x:v>
      </x:c>
      <x:c r="D11" s="170" t="n">
        <x:v>0.1</x:v>
      </x:c>
      <x:c r="E11" s="170" t="n">
        <x:v>0.17</x:v>
      </x:c>
      <x:c r="F11" s="170" t="n">
        <x:v>0.3</x:v>
      </x:c>
      <x:c r="G11" s="168" t="str">
        <x:v>TNEX_SIM_1.0</x:v>
      </x:c>
      <x:c r="H11" s="168" t="str">
        <x:v>2026-09-24</x:v>
      </x:c>
    </x:row>
    <x:row r="12">
      <x:c r="A12" s="169" t="str">
        <x:v>BUSINESS_LOAN</x:v>
      </x:c>
      <x:c r="B12" s="169" t="str">
        <x:v>Business Loan</x:v>
      </x:c>
      <x:c r="C12" s="184" t="n">
        <x:v>100000000</x:v>
      </x:c>
      <x:c r="D12" s="186" t="n">
        <x:v>0.14</x:v>
      </x:c>
      <x:c r="E12" s="186" t="n">
        <x:v>0.22</x:v>
      </x:c>
      <x:c r="F12" s="186" t="n">
        <x:v>0.35</x:v>
      </x:c>
      <x:c r="G12" s="169" t="str">
        <x:v>TNEX_SIM_1.0</x:v>
      </x:c>
      <x:c r="H12" s="169" t="str">
        <x:v>2026-09-24</x:v>
      </x:c>
    </x:row>
    <x:row r="15" ht="28" customHeight="1">
      <x:c r="A15" s="160" t="str">
        <x:v>Product</x:v>
      </x:c>
      <x:c r="B15" s="160" t="str">
        <x:v>Applications</x:v>
      </x:c>
      <x:c r="C15" s="160" t="str">
        <x:v>Approval</x:v>
      </x:c>
      <x:c r="D15" s="160" t="str">
        <x:v>Review</x:v>
      </x:c>
      <x:c r="E15" s="160" t="str">
        <x:v>Fraud decline</x:v>
      </x:c>
      <x:c r="F15" s="160" t="str">
        <x:v>Mean PD</x:v>
      </x:c>
      <x:c r="G15" s="160" t="str">
        <x:v>Approved limit</x:v>
      </x:c>
      <x:c r="H15" s="160" t="str">
        <x:v>P95 latency</x:v>
      </x:c>
    </x:row>
    <x:row r="16">
      <x:c r="A16" s="167" t="str">
        <x:v>BNPL</x:v>
      </x:c>
      <x:c r="B16" s="167" t="n">
        <x:v>707</x:v>
      </x:c>
      <x:c r="C16" s="185" t="n">
        <x:v>0.6463932107496464</x:v>
      </x:c>
      <x:c r="D16" s="185" t="n">
        <x:v>0.3507779349363508</x:v>
      </x:c>
      <x:c r="E16" s="185" t="n">
        <x:v>0.002828854314002829</x:v>
      </x:c>
      <x:c r="F16" s="185" t="n">
        <x:v>0.09282192711153395</x:v>
      </x:c>
      <x:c r="G16" s="182" t="n">
        <x:v>10520908898.1168</x:v>
      </x:c>
      <x:c r="H16" s="187" t="n">
        <x:v>1552.2444947029535</x:v>
      </x:c>
    </x:row>
    <x:row r="17">
      <x:c r="A17" s="168" t="str">
        <x:v>BUSINESS_LOAN</x:v>
      </x:c>
      <x:c r="B17" s="168" t="n">
        <x:v>364</x:v>
      </x:c>
      <x:c r="C17" s="170" t="n">
        <x:v>0.8241758241758241</x:v>
      </x:c>
      <x:c r="D17" s="170" t="n">
        <x:v>0.17582417582417584</x:v>
      </x:c>
      <x:c r="E17" s="170" t="n">
        <x:v>0</x:v>
      </x:c>
      <x:c r="F17" s="170" t="n">
        <x:v>0.09032659526868773</x:v>
      </x:c>
      <x:c r="G17" s="183" t="n">
        <x:v>11600194884.790161</x:v>
      </x:c>
      <x:c r="H17" s="171" t="n">
        <x:v>1556.0862329962922</x:v>
      </x:c>
    </x:row>
    <x:row r="18">
      <x:c r="A18" s="169" t="str">
        <x:v>CASH_LOAN</x:v>
      </x:c>
      <x:c r="B18" s="169" t="n">
        <x:v>1329</x:v>
      </x:c>
      <x:c r="C18" s="186" t="n">
        <x:v>0.7434161023325809</x:v>
      </x:c>
      <x:c r="D18" s="186" t="n">
        <x:v>0.2558314522197141</x:v>
      </x:c>
      <x:c r="E18" s="186" t="n">
        <x:v>0.0007524454477050414</x:v>
      </x:c>
      <x:c r="F18" s="186" t="n">
        <x:v>0.09302235951680006</x:v>
      </x:c>
      <x:c r="G18" s="184" t="n">
        <x:v>36444094895.94336</x:v>
      </x:c>
      <x:c r="H18" s="188" t="n">
        <x:v>1554.4880939518785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6" max="6" width="25" hidden="0" customWidth="1"/>
    <x:col min="7" max="7" width="16" hidden="0" customWidth="1"/>
    <x:col min="8" max="8" width="16" hidden="0" customWidth="1"/>
    <x:col min="9" max="9" width="16" hidden="0" customWidth="1"/>
  </x:cols>
  <x:sheetData>
    <x:row r="2" ht="27" customHeight="1">
      <x:c r="A2" s="154" t="str">
        <x:v>Digital Acquisition and Decision Funnel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Counts reconcile from application start through disbursement or activation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Stage</x:v>
      </x:c>
      <x:c r="B6" s="160" t="str">
        <x:v>Customers</x:v>
      </x:c>
      <x:c r="C6" s="160" t="str">
        <x:v>Conversion from prior</x:v>
      </x:c>
      <x:c r="D6" s="160" t="str">
        <x:v>Conversion from start</x:v>
      </x:c>
      <x:c r="F6" s="160" t="str">
        <x:v>Component</x:v>
      </x:c>
      <x:c r="G6" s="160" t="str">
        <x:v>P50 ms</x:v>
      </x:c>
      <x:c r="H6" s="160" t="str">
        <x:v>P95 ms</x:v>
      </x:c>
      <x:c r="I6" s="160" t="str">
        <x:v>SLA ms</x:v>
      </x:c>
    </x:row>
    <x:row r="7">
      <x:c r="A7" s="167" t="str">
        <x:v>Application started</x:v>
      </x:c>
      <x:c r="B7" s="167" t="n">
        <x:v>2400</x:v>
      </x:c>
      <x:c r="C7" s="185" t="n">
        <x:v>1</x:v>
      </x:c>
      <x:c r="D7" s="185" t="n">
        <x:v>1</x:v>
      </x:c>
      <x:c r="F7" s="167" t="str">
        <x:v>Ekyc</x:v>
      </x:c>
      <x:c r="G7" s="167" t="n">
        <x:v>617.1629538749689</x:v>
      </x:c>
      <x:c r="H7" s="167" t="n">
        <x:v>867.8085896544376</x:v>
      </x:c>
      <x:c r="I7" s="167"/>
    </x:row>
    <x:row r="8">
      <x:c r="A8" s="168" t="str">
        <x:v>Identity verified</x:v>
      </x:c>
      <x:c r="B8" s="168" t="n">
        <x:v>2184</x:v>
      </x:c>
      <x:c r="C8" s="170" t="n">
        <x:v>0.91</x:v>
      </x:c>
      <x:c r="D8" s="170" t="n">
        <x:v>0.91</x:v>
      </x:c>
      <x:c r="F8" s="168" t="str">
        <x:v>Feature</x:v>
      </x:c>
      <x:c r="G8" s="168" t="n">
        <x:v>310.8055765014749</x:v>
      </x:c>
      <x:c r="H8" s="168" t="n">
        <x:v>453.3591358064045</x:v>
      </x:c>
      <x:c r="I8" s="168"/>
    </x:row>
    <x:row r="9">
      <x:c r="A9" s="168" t="str">
        <x:v>Application submitted</x:v>
      </x:c>
      <x:c r="B9" s="168" t="n">
        <x:v>1965</x:v>
      </x:c>
      <x:c r="C9" s="170" t="n">
        <x:v>0.8997252747252747</x:v>
      </x:c>
      <x:c r="D9" s="170" t="n">
        <x:v>0.81875</x:v>
      </x:c>
      <x:c r="F9" s="168" t="str">
        <x:v>Fraud</x:v>
      </x:c>
      <x:c r="G9" s="168" t="n">
        <x:v>245.6719318707889</x:v>
      </x:c>
      <x:c r="H9" s="168" t="n">
        <x:v>350.9285510737022</x:v>
      </x:c>
      <x:c r="I9" s="168"/>
    </x:row>
    <x:row r="10">
      <x:c r="A10" s="168" t="str">
        <x:v>Decision rendered</x:v>
      </x:c>
      <x:c r="B10" s="168" t="n">
        <x:v>1965</x:v>
      </x:c>
      <x:c r="C10" s="170" t="n">
        <x:v>1</x:v>
      </x:c>
      <x:c r="D10" s="170" t="n">
        <x:v>0.81875</x:v>
      </x:c>
      <x:c r="F10" s="168" t="str">
        <x:v>Credit</x:v>
      </x:c>
      <x:c r="G10" s="168" t="n">
        <x:v>31.488829006483257</x:v>
      </x:c>
      <x:c r="H10" s="168" t="n">
        <x:v>45.52043692972955</x:v>
      </x:c>
      <x:c r="I10" s="168"/>
    </x:row>
    <x:row r="11">
      <x:c r="A11" s="168" t="str">
        <x:v>Approved</x:v>
      </x:c>
      <x:c r="B11" s="168" t="n">
        <x:v>1428</x:v>
      </x:c>
      <x:c r="C11" s="170" t="n">
        <x:v>0.7267175572519083</x:v>
      </x:c>
      <x:c r="D11" s="170" t="n">
        <x:v>0.595</x:v>
      </x:c>
      <x:c r="F11" s="168" t="str">
        <x:v>Policy Offer</x:v>
      </x:c>
      <x:c r="G11" s="168" t="n">
        <x:v>44.998008363988056</x:v>
      </x:c>
      <x:c r="H11" s="168" t="n">
        <x:v>64.68694639181548</x:v>
      </x:c>
      <x:c r="I11" s="168"/>
    </x:row>
    <x:row r="12">
      <x:c r="A12" s="169" t="str">
        <x:v>Disbursed / activated</x:v>
      </x:c>
      <x:c r="B12" s="169" t="n">
        <x:v>1199</x:v>
      </x:c>
      <x:c r="C12" s="186" t="n">
        <x:v>0.8396358543417367</x:v>
      </x:c>
      <x:c r="D12" s="186" t="n">
        <x:v>0.4995833333333333</x:v>
      </x:c>
      <x:c r="F12" s="169" t="str">
        <x:v>End To End</x:v>
      </x:c>
      <x:c r="G12" s="169" t="n">
        <x:v>1248.059361583587</x:v>
      </x:c>
      <x:c r="H12" s="169" t="n">
        <x:v>1554.39464447734</x:v>
      </x:c>
      <x:c r="I12" s="169" t="n">
        <x:v>5000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1" hidden="0" customWidth="1"/>
    <x:col min="11" max="11" width="22" hidden="0" customWidth="1"/>
  </x:cols>
  <x:sheetData>
    <x:row r="2" ht="27" customHeight="1">
      <x:c r="A2" s="154" t="str">
        <x:v>Repeat-customer and Collections Controls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Limit management is explainable; unresolved payments suppress automated collection reminders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60" t="str">
        <x:v>Lifecycle action</x:v>
      </x:c>
      <x:c r="B6" s="160" t="str">
        <x:v>Customers</x:v>
      </x:c>
      <x:c r="C6" s="160" t="str">
        <x:v>Mean PD</x:v>
      </x:c>
      <x:c r="D6" s="160" t="str">
        <x:v>Mean on-time ratio</x:v>
      </x:c>
      <x:c r="F6" s="160" t="str">
        <x:v>Feature group</x:v>
      </x:c>
      <x:c r="G6" s="160" t="str">
        <x:v>Feature</x:v>
      </x:c>
      <x:c r="H6" s="160" t="str">
        <x:v>Freshness</x:v>
      </x:c>
      <x:c r="I6" s="160" t="str">
        <x:v>Consent</x:v>
      </x:c>
      <x:c r="J6" s="160" t="str">
        <x:v>Fallback</x:v>
      </x:c>
      <x:c r="K6" s="160" t="str">
        <x:v>Owner</x:v>
      </x:c>
    </x:row>
    <x:row r="7">
      <x:c r="A7" s="167" t="str">
        <x:v>INCREASE_LIMIT</x:v>
      </x:c>
      <x:c r="B7" s="167" t="n">
        <x:v>108</x:v>
      </x:c>
      <x:c r="C7" s="185" t="n">
        <x:v>0.04883205764443549</x:v>
      </x:c>
      <x:c r="D7" s="185" t="n">
        <x:v>0.9676716009118332</x:v>
      </x:c>
      <x:c r="F7" s="167" t="str">
        <x:v>Bureau</x:v>
      </x:c>
      <x:c r="G7" s="167" t="str">
        <x:v>bureau_score</x:v>
      </x:c>
      <x:c r="H7" s="167" t="str">
        <x:v>At decision</x:v>
      </x:c>
      <x:c r="I7" s="167" t="str">
        <x:v>No</x:v>
      </x:c>
      <x:c r="J7" s="167" t="str">
        <x:v>Refer / conservative policy</x:v>
      </x:c>
      <x:c r="K7" s="167" t="str">
        <x:v>Credit Risk</x:v>
      </x:c>
    </x:row>
    <x:row r="8">
      <x:c r="A8" s="168" t="str">
        <x:v>MAINTAIN</x:v>
      </x:c>
      <x:c r="B8" s="168" t="n">
        <x:v>637</x:v>
      </x:c>
      <x:c r="C8" s="170" t="n">
        <x:v>0.08441902407835644</x:v>
      </x:c>
      <x:c r="D8" s="170" t="n">
        <x:v>0.9086735162146622</x:v>
      </x:c>
      <x:c r="F8" s="168" t="str">
        <x:v>Transaction</x:v>
      </x:c>
      <x:c r="G8" s="168" t="str">
        <x:v>avg_balance_90d</x:v>
      </x:c>
      <x:c r="H8" s="168" t="str">
        <x:v>Daily</x:v>
      </x:c>
      <x:c r="I8" s="168" t="str">
        <x:v>Yes</x:v>
      </x:c>
      <x:c r="J8" s="168" t="str">
        <x:v>Income-only model</x:v>
      </x:c>
      <x:c r="K8" s="168" t="str">
        <x:v>Data Office</x:v>
      </x:c>
    </x:row>
    <x:row r="9">
      <x:c r="A9" s="168" t="str">
        <x:v>REDUCE_LIMIT</x:v>
      </x:c>
      <x:c r="B9" s="168" t="n">
        <x:v>410</x:v>
      </x:c>
      <x:c r="C9" s="170" t="n">
        <x:v>0.08198765143678068</x:v>
      </x:c>
      <x:c r="D9" s="170" t="n">
        <x:v>0.7921694974851533</x:v>
      </x:c>
      <x:c r="F9" s="168" t="str">
        <x:v>Transaction</x:v>
      </x:c>
      <x:c r="G9" s="168" t="str">
        <x:v>transaction_count_90d</x:v>
      </x:c>
      <x:c r="H9" s="168" t="str">
        <x:v>Daily</x:v>
      </x:c>
      <x:c r="I9" s="168" t="str">
        <x:v>Yes</x:v>
      </x:c>
      <x:c r="J9" s="168" t="str">
        <x:v>Bureau-only model</x:v>
      </x:c>
      <x:c r="K9" s="168" t="str">
        <x:v>Data Office</x:v>
      </x:c>
    </x:row>
    <x:row r="10">
      <x:c r="A10" s="169" t="str">
        <x:v>SUPPRESS_OFFER</x:v>
      </x:c>
      <x:c r="B10" s="169" t="n">
        <x:v>178</x:v>
      </x:c>
      <x:c r="C10" s="186" t="n">
        <x:v>0.17041001318370189</x:v>
      </x:c>
      <x:c r="D10" s="186" t="n">
        <x:v>0.7443250833451238</x:v>
      </x:c>
      <x:c r="F10" s="168" t="str">
        <x:v>Device</x:v>
      </x:c>
      <x:c r="G10" s="168" t="str">
        <x:v>device_age_days</x:v>
      </x:c>
      <x:c r="H10" s="168" t="str">
        <x:v>Real time</x:v>
      </x:c>
      <x:c r="I10" s="168" t="str">
        <x:v>Yes</x:v>
      </x:c>
      <x:c r="J10" s="168" t="str">
        <x:v>Step-up verification</x:v>
      </x:c>
      <x:c r="K10" s="168" t="str">
        <x:v>Fraud Risk</x:v>
      </x:c>
    </x:row>
    <x:row r="11">
      <x:c r="F11" s="168" t="str">
        <x:v>Identity</x:v>
      </x:c>
      <x:c r="G11" s="168" t="str">
        <x:v>identity_match_score</x:v>
      </x:c>
      <x:c r="H11" s="168" t="str">
        <x:v>Real time</x:v>
      </x:c>
      <x:c r="I11" s="168" t="str">
        <x:v>Yes</x:v>
      </x:c>
      <x:c r="J11" s="168" t="str">
        <x:v>Manual identity review</x:v>
      </x:c>
      <x:c r="K11" s="168" t="str">
        <x:v>Financial Crime</x:v>
      </x:c>
    </x:row>
    <x:row r="12">
      <x:c r="F12" s="168" t="str">
        <x:v>Business</x:v>
      </x:c>
      <x:c r="G12" s="168" t="str">
        <x:v>sales_monthly</x:v>
      </x:c>
      <x:c r="H12" s="168" t="str">
        <x:v>Daily</x:v>
      </x:c>
      <x:c r="I12" s="168" t="str">
        <x:v>Yes</x:v>
      </x:c>
      <x:c r="J12" s="168" t="str">
        <x:v>Manual bank-statement review</x:v>
      </x:c>
      <x:c r="K12" s="168" t="str">
        <x:v>Business Credit</x:v>
      </x:c>
    </x:row>
    <x:row r="13">
      <x:c r="F13" s="169" t="str">
        <x:v>Lifecycle</x:v>
      </x:c>
      <x:c r="G13" s="169" t="str">
        <x:v>prior_on_time_ratio</x:v>
      </x:c>
      <x:c r="H13" s="169" t="str">
        <x:v>Daily</x:v>
      </x:c>
      <x:c r="I13" s="169" t="str">
        <x:v>Yes</x:v>
      </x:c>
      <x:c r="J13" s="169" t="str">
        <x:v>No repeat-loan uplift</x:v>
      </x:c>
      <x:c r="K13" s="169" t="str">
        <x:v>Collections</x:v>
      </x:c>
    </x:row>
    <x:row r="14" ht="28" customHeight="1">
      <x:c r="A14" s="160" t="str">
        <x:v>Control</x:v>
      </x:c>
      <x:c r="B14" s="160" t="str">
        <x:v>Population</x:v>
      </x:c>
      <x:c r="C14" s="160" t="str">
        <x:v>Exceptions</x:v>
      </x:c>
      <x:c r="D14" s="160" t="str">
        <x:v>Exception rate</x:v>
      </x:c>
      <x:c r="E14" s="160" t="str">
        <x:v>SLA</x:v>
      </x:c>
      <x:c r="F14" s="160" t="str">
        <x:v>Action</x:v>
      </x:c>
      <x:c r="G14" s="160" t="str">
        <x:v>Status</x:v>
      </x:c>
    </x:row>
    <x:row r="15">
      <x:c r="A15" s="167" t="str">
        <x:v>Payment posting reconciliation</x:v>
      </x:c>
      <x:c r="B15" s="167" t="n">
        <x:v>1840</x:v>
      </x:c>
      <x:c r="C15" s="167" t="n">
        <x:v>21</x:v>
      </x:c>
      <x:c r="D15" s="185" t="n">
        <x:v>0.01141304347826087</x:v>
      </x:c>
      <x:c r="E15" s="167" t="str">
        <x:v>T+1</x:v>
      </x:c>
      <x:c r="F15" s="167" t="str">
        <x:v>Suspend reminders until ledger match</x:v>
      </x:c>
      <x:c r="G15" s="167" t="str">
        <x:v>PASS</x:v>
      </x:c>
    </x:row>
    <x:row r="16">
      <x:c r="A16" s="168" t="str">
        <x:v>Reminder suppression</x:v>
      </x:c>
      <x:c r="B16" s="168" t="n">
        <x:v>21</x:v>
      </x:c>
      <x:c r="C16" s="168" t="n">
        <x:v>0</x:v>
      </x:c>
      <x:c r="D16" s="170" t="n">
        <x:v>0</x:v>
      </x:c>
      <x:c r="E16" s="168" t="str">
        <x:v>Immediate</x:v>
      </x:c>
      <x:c r="F16" s="168" t="str">
        <x:v>No collection message on unresolved payment</x:v>
      </x:c>
      <x:c r="G16" s="168" t="str">
        <x:v>PASS</x:v>
      </x:c>
    </x:row>
    <x:row r="17">
      <x:c r="A17" s="168" t="str">
        <x:v>Hardship / complaint routing</x:v>
      </x:c>
      <x:c r="B17" s="168" t="n">
        <x:v>63</x:v>
      </x:c>
      <x:c r="C17" s="168" t="n">
        <x:v>2</x:v>
      </x:c>
      <x:c r="D17" s="170" t="n">
        <x:v>0.031746031746031744</x:v>
      </x:c>
      <x:c r="E17" s="168" t="str">
        <x:v>4 hours</x:v>
      </x:c>
      <x:c r="F17" s="168" t="str">
        <x:v>Specialist review and vulnerability flag</x:v>
      </x:c>
      <x:c r="G17" s="168" t="str">
        <x:v>AMBER</x:v>
      </x:c>
    </x:row>
    <x:row r="18">
      <x:c r="A18" s="169" t="str">
        <x:v>Promise-to-pay monitoring</x:v>
      </x:c>
      <x:c r="B18" s="169" t="n">
        <x:v>214</x:v>
      </x:c>
      <x:c r="C18" s="169" t="n">
        <x:v>8</x:v>
      </x:c>
      <x:c r="D18" s="186" t="n">
        <x:v>0.037383177570093455</x:v>
      </x:c>
      <x:c r="E18" s="169" t="str">
        <x:v>Daily</x:v>
      </x:c>
      <x:c r="F18" s="169" t="str">
        <x:v>Re-segment and next-best action</x:v>
      </x:c>
      <x:c r="G18" s="169" t="str">
        <x:v>PASS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2" ht="27" customHeight="1">
      <x:c r="A2" s="154" t="str">
        <x:v>V8 TNEX Digital Lending Operating System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Interactive synthetic portfolio; not an official TNEX model or affiliated implementation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Metric</x:v>
      </x:c>
      <x:c r="B6" s="194" t="str">
        <x:v>Result</x:v>
      </x:c>
      <x:c r="D6" s="194" t="str">
        <x:v>Operating conclusion</x:v>
      </x:c>
      <x:c r="E6" s="194"/>
      <x:c r="F6" s="194"/>
      <x:c r="G6" s="194"/>
      <x:c r="H6" s="194"/>
    </x:row>
    <x:row r="7">
      <x:c r="A7" s="167" t="str">
        <x:v>Build</x:v>
      </x:c>
      <x:c r="B7" s="167" t="str">
        <x:v>V8.0</x:v>
      </x:c>
      <x:c r="D7" s="198" t="str">
        <x:v>V8 combines live product decisions, separate product calibration evidence, linked-device fraud intelligence, constrained risk–profit optimization and collections next-best-action. Pending payments suppress automated contact until reconciliation.</x:v>
      </x:c>
      <x:c r="E7" s="198"/>
      <x:c r="F7" s="198"/>
      <x:c r="G7" s="198"/>
      <x:c r="H7" s="198"/>
    </x:row>
    <x:row r="8">
      <x:c r="A8" s="168" t="str">
        <x:v>Products</x:v>
      </x:c>
      <x:c r="B8" s="168" t="n">
        <x:v>3</x:v>
      </x:c>
      <x:c r="D8" s="198"/>
      <x:c r="E8" s="198"/>
      <x:c r="F8" s="198"/>
      <x:c r="G8" s="198"/>
      <x:c r="H8" s="198"/>
    </x:row>
    <x:row r="9">
      <x:c r="A9" s="168" t="str">
        <x:v>Product models</x:v>
      </x:c>
      <x:c r="B9" s="168" t="n">
        <x:v>3</x:v>
      </x:c>
      <x:c r="D9" s="198"/>
      <x:c r="E9" s="198"/>
      <x:c r="F9" s="198"/>
      <x:c r="G9" s="198"/>
      <x:c r="H9" s="198"/>
    </x:row>
    <x:row r="10">
      <x:c r="A10" s="168" t="str">
        <x:v>Fraud clusters</x:v>
      </x:c>
      <x:c r="B10" s="168" t="n">
        <x:v>13</x:v>
      </x:c>
      <x:c r="D10" s="198"/>
      <x:c r="E10" s="198"/>
      <x:c r="F10" s="198"/>
      <x:c r="G10" s="198"/>
      <x:c r="H10" s="198"/>
    </x:row>
    <x:row r="11">
      <x:c r="A11" s="168" t="str">
        <x:v>Recommended credit cut-off</x:v>
      </x:c>
      <x:c r="B11" s="170" t="n">
        <x:v>0.12</x:v>
      </x:c>
    </x:row>
    <x:row r="12" ht="28" customHeight="1">
      <x:c r="A12" s="168" t="str">
        <x:v>Recommended fraud cut-off</x:v>
      </x:c>
      <x:c r="B12" s="170" t="n">
        <x:v>0.3</x:v>
      </x:c>
      <x:c r="D12" s="194" t="str">
        <x:v>Production requirements</x:v>
      </x:c>
      <x:c r="E12" s="194"/>
      <x:c r="F12" s="194"/>
      <x:c r="G12" s="194"/>
      <x:c r="H12" s="194"/>
    </x:row>
    <x:row r="13">
      <x:c r="A13" s="168" t="str">
        <x:v>Recommended approval rate</x:v>
      </x:c>
      <x:c r="B13" s="170" t="n">
        <x:v>0.75</x:v>
      </x:c>
      <x:c r="D13" s="202" t="str">
        <x:v>Use approved data, independently validate each model, complete privacy and consent assessment, calibrate unit economics, integrate the ledger, and complete shadow and canary releases.</x:v>
      </x:c>
      <x:c r="E13" s="202"/>
      <x:c r="F13" s="202"/>
      <x:c r="G13" s="202"/>
      <x:c r="H13" s="202"/>
    </x:row>
    <x:row r="14">
      <x:c r="A14" s="168" t="str">
        <x:v>Recommended contribution</x:v>
      </x:c>
      <x:c r="B14" s="183" t="n">
        <x:v>6422416427.439102</x:v>
      </x:c>
      <x:c r="D14" s="202"/>
      <x:c r="E14" s="202"/>
      <x:c r="F14" s="202"/>
      <x:c r="G14" s="202"/>
      <x:c r="H14" s="202"/>
    </x:row>
    <x:row r="15">
      <x:c r="A15" s="169" t="str">
        <x:v>Recommended RAROC</x:v>
      </x:c>
      <x:c r="B15" s="186" t="n">
        <x:v>1.077471656944402</x:v>
      </x:c>
      <x:c r="D15" s="202"/>
      <x:c r="E15" s="202"/>
      <x:c r="F15" s="202"/>
      <x:c r="G15" s="202"/>
      <x:c r="H15" s="202"/>
    </x:row>
  </x:sheetData>
  <x:mergeCells>
    <x:mergeCell ref="A2:J2"/>
    <x:mergeCell ref="A3:J3"/>
    <x:mergeCell ref="D6:H6"/>
    <x:mergeCell ref="D7:H10"/>
    <x:mergeCell ref="D12:H12"/>
    <x:mergeCell ref="D13:H15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2" ht="27" customHeight="1">
      <x:c r="A2" s="154" t="str">
        <x:v>Risk and Profit Strategy Optimizer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Blue cells are editable; formulas retrieve the matching simulated strategy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Selected credit cut-off</x:v>
      </x:c>
      <x:c r="B6" s="205" t="n">
        <x:v>0.12</x:v>
      </x:c>
      <x:c r="C6" s="194" t="str">
        <x:v>Selected fraud cut-off</x:v>
      </x:c>
      <x:c r="D6" s="205" t="n">
        <x:v>0.3</x:v>
      </x:c>
    </x:row>
    <x:row r="8" ht="28" customHeight="1">
      <x:c r="A8" s="194" t="str">
        <x:v>Approval rate</x:v>
      </x:c>
      <x:c r="B8" s="194" t="str">
        <x:v>Approved accounts</x:v>
      </x:c>
      <x:c r="C8" s="194" t="str">
        <x:v>Approved exposure</x:v>
      </x:c>
      <x:c r="D8" s="194" t="str">
        <x:v>Expected credit loss</x:v>
      </x:c>
      <x:c r="E8" s="194" t="str">
        <x:v>Expected fraud loss</x:v>
      </x:c>
      <x:c r="F8" s="194" t="str">
        <x:v>Contribution</x:v>
      </x:c>
      <x:c r="G8" s="194" t="str">
        <x:v>RAROC</x:v>
      </x:c>
      <x:c r="H8" s="194" t="str">
        <x:v>Recommendation</x:v>
      </x:c>
    </x:row>
    <x:row r="9">
      <x:c r="A9" s="124" t="n">
        <x:f>SUMIFS(D14:D28,A14:A28,$B$6,B14:B28,$D$6)</x:f>
        <x:v>0.75</x:v>
      </x:c>
      <x:c r="B9" t="n">
        <x:f>SUMIFS(E14:E28,A14:A28,$B$6,B14:B28,$D$6)</x:f>
        <x:v>1800</x:v>
      </x:c>
      <x:c r="C9" s="125" t="n">
        <x:f>SUMIFS(F14:F28,A14:A28,$B$6,B14:B28,$D$6)</x:f>
        <x:v>59606360743.1903</x:v>
      </x:c>
      <x:c r="D9" s="125" t="n">
        <x:f>SUMIFS(G14:G28,A14:A28,$B$6,B14:B28,$D$6)</x:f>
        <x:v>2095872905.4822197</x:v>
      </x:c>
      <x:c r="E9" s="125" t="n">
        <x:f>SUMIFS(H14:H28,A14:A28,$B$6,B14:B28,$D$6)</x:f>
        <x:v>513696582.2731738</x:v>
      </x:c>
      <x:c r="F9" s="125" t="n">
        <x:f>SUMIFS(I14:I28,A14:A28,$B$6,B14:B28,$D$6)</x:f>
        <x:v>6422416427.439102</x:v>
      </x:c>
      <x:c r="G9" s="124" t="n">
        <x:f>SUMIFS(J14:J28,A14:A28,$B$6,B14:B28,$D$6)</x:f>
        <x:v>1.077471656944402</x:v>
      </x:c>
      <x:c r="H9" t="str">
        <x:f>IF(AND(B6=12%,D6=30%),"RECOMMENDED","ALTERNATIVE")</x:f>
        <x:v>RECOMMENDED</x:v>
      </x:c>
    </x:row>
    <x:row r="13" ht="28" customHeight="1">
      <x:c r="A13" s="194" t="str">
        <x:v>Credit cut-off</x:v>
      </x:c>
      <x:c r="B13" s="194" t="str">
        <x:v>Fraud cut-off</x:v>
      </x:c>
      <x:c r="C13" s="194" t="str">
        <x:v>Recommended</x:v>
      </x:c>
      <x:c r="D13" s="194" t="str">
        <x:v>Approval rate</x:v>
      </x:c>
      <x:c r="E13" s="194" t="str">
        <x:v>Accounts</x:v>
      </x:c>
      <x:c r="F13" s="194" t="str">
        <x:v>Exposure</x:v>
      </x:c>
      <x:c r="G13" s="194" t="str">
        <x:v>Expected loss</x:v>
      </x:c>
      <x:c r="H13" s="194" t="str">
        <x:v>Fraud loss</x:v>
      </x:c>
      <x:c r="I13" s="194" t="str">
        <x:v>Contribution</x:v>
      </x:c>
      <x:c r="J13" s="194" t="str">
        <x:v>RAROC</x:v>
      </x:c>
    </x:row>
    <x:row r="14">
      <x:c r="A14" s="185" t="n">
        <x:v>0.08</x:v>
      </x:c>
      <x:c r="B14" s="185" t="n">
        <x:v>0.2</x:v>
      </x:c>
      <x:c r="C14" s="214" t="b">
        <x:v>0</x:v>
      </x:c>
      <x:c r="D14" s="185" t="n">
        <x:v>0.5158333333333334</x:v>
      </x:c>
      <x:c r="E14" s="167" t="n">
        <x:v>1238</x:v>
      </x:c>
      <x:c r="F14" s="182" t="n">
        <x:v>41733701069.17472</x:v>
      </x:c>
      <x:c r="G14" s="182" t="n">
        <x:v>1138583591.8721457</x:v>
      </x:c>
      <x:c r="H14" s="182" t="n">
        <x:v>344551587.4392857</x:v>
      </x:c>
      <x:c r="I14" s="182" t="n">
        <x:v>4843218486.410649</x:v>
      </x:c>
      <x:c r="J14" s="185" t="n">
        <x:v>1.1605053858949355</x:v>
      </x:c>
    </x:row>
    <x:row r="15">
      <x:c r="A15" s="170" t="n">
        <x:v>0.08</x:v>
      </x:c>
      <x:c r="B15" s="170" t="n">
        <x:v>0.3</x:v>
      </x:c>
      <x:c r="C15" s="215" t="b">
        <x:v>0</x:v>
      </x:c>
      <x:c r="D15" s="170" t="n">
        <x:v>0.5208333333333334</x:v>
      </x:c>
      <x:c r="E15" s="168" t="n">
        <x:v>1250</x:v>
      </x:c>
      <x:c r="F15" s="183" t="n">
        <x:v>42076857369.42048</x:v>
      </x:c>
      <x:c r="G15" s="183" t="n">
        <x:v>1149159222.7677794</x:v>
      </x:c>
      <x:c r="H15" s="183" t="n">
        <x:v>359310911.7630405</x:v>
      </x:c>
      <x:c r="I15" s="183" t="n">
        <x:v>4869692757.729353</x:v>
      </x:c>
      <x:c r="J15" s="170" t="n">
        <x:v>1.1573328100468885</x:v>
      </x:c>
    </x:row>
    <x:row r="16">
      <x:c r="A16" s="170" t="n">
        <x:v>0.08</x:v>
      </x:c>
      <x:c r="B16" s="170" t="n">
        <x:v>0.4</x:v>
      </x:c>
      <x:c r="C16" s="215" t="b">
        <x:v>0</x:v>
      </x:c>
      <x:c r="D16" s="170" t="n">
        <x:v>0.5225</x:v>
      </x:c>
      <x:c r="E16" s="168" t="n">
        <x:v>1254</x:v>
      </x:c>
      <x:c r="F16" s="183" t="n">
        <x:v>42276054279.42048</x:v>
      </x:c>
      <x:c r="G16" s="183" t="n">
        <x:v>1152989614.0138083</x:v>
      </x:c>
      <x:c r="H16" s="183" t="n">
        <x:v>370805761.48711216</x:v>
      </x:c>
      <x:c r="I16" s="183" t="n">
        <x:v>4884783037.809255</x:v>
      </x:c>
      <x:c r="J16" s="170" t="n">
        <x:v>1.1554491357030718</x:v>
      </x:c>
    </x:row>
    <x:row r="17">
      <x:c r="A17" s="170" t="n">
        <x:v>0.1</x:v>
      </x:c>
      <x:c r="B17" s="170" t="n">
        <x:v>0.2</x:v>
      </x:c>
      <x:c r="C17" s="215" t="b">
        <x:v>0</x:v>
      </x:c>
      <x:c r="D17" s="170" t="n">
        <x:v>0.6433333333333333</x:v>
      </x:c>
      <x:c r="E17" s="168" t="n">
        <x:v>1544</x:v>
      </x:c>
      <x:c r="F17" s="183" t="n">
        <x:v>51555652820.71001</x:v>
      </x:c>
      <x:c r="G17" s="183" t="n">
        <x:v>1621275018.436027</x:v>
      </x:c>
      <x:c r="H17" s="183" t="n">
        <x:v>426481113.781216</x:v>
      </x:c>
      <x:c r="I17" s="183" t="n">
        <x:v>5765810054.992807</x:v>
      </x:c>
      <x:c r="J17" s="170" t="n">
        <x:v>1.1183662197128983</x:v>
      </x:c>
    </x:row>
    <x:row r="18">
      <x:c r="A18" s="170" t="n">
        <x:v>0.1</x:v>
      </x:c>
      <x:c r="B18" s="170" t="n">
        <x:v>0.3</x:v>
      </x:c>
      <x:c r="C18" s="215" t="b">
        <x:v>0</x:v>
      </x:c>
      <x:c r="D18" s="170" t="n">
        <x:v>0.6495833333333333</x:v>
      </x:c>
      <x:c r="E18" s="168" t="n">
        <x:v>1559</x:v>
      </x:c>
      <x:c r="F18" s="183" t="n">
        <x:v>52012962264.940094</x:v>
      </x:c>
      <x:c r="G18" s="183" t="n">
        <x:v>1637357229.0485191</x:v>
      </x:c>
      <x:c r="H18" s="183" t="n">
        <x:v>446670048.432392</x:v>
      </x:c>
      <x:c r="I18" s="183" t="n">
        <x:v>5798696873.584804</x:v>
      </x:c>
      <x:c r="J18" s="170" t="n">
        <x:v>1.1148561091459845</x:v>
      </x:c>
    </x:row>
    <x:row r="19">
      <x:c r="A19" s="170" t="n">
        <x:v>0.1</x:v>
      </x:c>
      <x:c r="B19" s="170" t="n">
        <x:v>0.4</x:v>
      </x:c>
      <x:c r="C19" s="215" t="b">
        <x:v>0</x:v>
      </x:c>
      <x:c r="D19" s="170" t="n">
        <x:v>0.65125</x:v>
      </x:c>
      <x:c r="E19" s="168" t="n">
        <x:v>1563</x:v>
      </x:c>
      <x:c r="F19" s="183" t="n">
        <x:v>52212159174.940094</x:v>
      </x:c>
      <x:c r="G19" s="183" t="n">
        <x:v>1641187620.2945478</x:v>
      </x:c>
      <x:c r="H19" s="183" t="n">
        <x:v>458164898.1564637</x:v>
      </x:c>
      <x:c r="I19" s="183" t="n">
        <x:v>5813787153.664702</x:v>
      </x:c>
      <x:c r="J19" s="170" t="n">
        <x:v>1.113492957490083</x:v>
      </x:c>
    </x:row>
    <x:row r="20">
      <x:c r="A20" s="170" t="n">
        <x:v>0.12</x:v>
      </x:c>
      <x:c r="B20" s="170" t="n">
        <x:v>0.2</x:v>
      </x:c>
      <x:c r="C20" s="215" t="b">
        <x:v>0</x:v>
      </x:c>
      <x:c r="D20" s="170" t="n">
        <x:v>0.7429166666666667</x:v>
      </x:c>
      <x:c r="E20" s="168" t="n">
        <x:v>1783</x:v>
      </x:c>
      <x:c r="F20" s="183" t="n">
        <x:v>59079817998.93682</x:v>
      </x:c>
      <x:c r="G20" s="183" t="n">
        <x:v>2075817720.0106964</x:v>
      </x:c>
      <x:c r="H20" s="183" t="n">
        <x:v>490151589.71981895</x:v>
      </x:c>
      <x:c r="I20" s="183" t="n">
        <x:v>6386357480.1046915</x:v>
      </x:c>
      <x:c r="J20" s="170" t="n">
        <x:v>1.0809710822432828</x:v>
      </x:c>
    </x:row>
    <x:row r="21">
      <x:c r="A21" s="170" t="n">
        <x:v>0.12</x:v>
      </x:c>
      <x:c r="B21" s="170" t="n">
        <x:v>0.3</x:v>
      </x:c>
      <x:c r="C21" s="215" t="b">
        <x:v>1</x:v>
      </x:c>
      <x:c r="D21" s="170" t="n">
        <x:v>0.75</x:v>
      </x:c>
      <x:c r="E21" s="168" t="n">
        <x:v>1800</x:v>
      </x:c>
      <x:c r="F21" s="183" t="n">
        <x:v>59606360743.1903</x:v>
      </x:c>
      <x:c r="G21" s="183" t="n">
        <x:v>2095872905.4822197</x:v>
      </x:c>
      <x:c r="H21" s="183" t="n">
        <x:v>513696582.2731738</x:v>
      </x:c>
      <x:c r="I21" s="183" t="n">
        <x:v>6422416427.439102</x:v>
      </x:c>
      <x:c r="J21" s="170" t="n">
        <x:v>1.077471656944402</x:v>
      </x:c>
    </x:row>
    <x:row r="22">
      <x:c r="A22" s="170" t="n">
        <x:v>0.12</x:v>
      </x:c>
      <x:c r="B22" s="170" t="n">
        <x:v>0.4</x:v>
      </x:c>
      <x:c r="C22" s="215" t="b">
        <x:v>0</x:v>
      </x:c>
      <x:c r="D22" s="170" t="n">
        <x:v>0.7525</x:v>
      </x:c>
      <x:c r="E22" s="168" t="n">
        <x:v>1806</x:v>
      </x:c>
      <x:c r="F22" s="183" t="n">
        <x:v>59890609751.24746</x:v>
      </x:c>
      <x:c r="G22" s="183" t="n">
        <x:v>2105279086.2062948</x:v>
      </x:c>
      <x:c r="H22" s="183" t="n">
        <x:v>530425682.65534854</x:v>
      </x:c>
      <x:c r="I22" s="183" t="n">
        <x:v>6439649742.581711</x:v>
      </x:c>
      <x:c r="J22" s="170" t="n">
        <x:v>1.0752352947028694</x:v>
      </x:c>
    </x:row>
    <x:row r="23">
      <x:c r="A23" s="170" t="n">
        <x:v>0.14</x:v>
      </x:c>
      <x:c r="B23" s="170" t="n">
        <x:v>0.2</x:v>
      </x:c>
      <x:c r="C23" s="215" t="b">
        <x:v>0</x:v>
      </x:c>
      <x:c r="D23" s="170" t="n">
        <x:v>0.8170833333333334</x:v>
      </x:c>
      <x:c r="E23" s="168" t="n">
        <x:v>1961</x:v>
      </x:c>
      <x:c r="F23" s="183" t="n">
        <x:v>64206434815.87912</x:v>
      </x:c>
      <x:c r="G23" s="183" t="n">
        <x:v>2439901331.2183237</x:v>
      </x:c>
      <x:c r="H23" s="183" t="n">
        <x:v>535216198.61353856</x:v>
      </x:c>
      <x:c r="I23" s="183" t="n">
        <x:v>6751364866.629398</x:v>
      </x:c>
      <x:c r="J23" s="170" t="n">
        <x:v>1.0515090716358688</x:v>
      </x:c>
    </x:row>
    <x:row r="24">
      <x:c r="A24" s="170" t="n">
        <x:v>0.14</x:v>
      </x:c>
      <x:c r="B24" s="170" t="n">
        <x:v>0.3</x:v>
      </x:c>
      <x:c r="C24" s="215" t="b">
        <x:v>0</x:v>
      </x:c>
      <x:c r="D24" s="170" t="n">
        <x:v>0.8245833333333333</x:v>
      </x:c>
      <x:c r="E24" s="168" t="n">
        <x:v>1979</x:v>
      </x:c>
      <x:c r="F24" s="183" t="n">
        <x:v>64768002542.17261</x:v>
      </x:c>
      <x:c r="G24" s="183" t="n">
        <x:v>2462477088.6983023</x:v>
      </x:c>
      <x:c r="H24" s="183" t="n">
        <x:v>560031520.8034365</x:v>
      </x:c>
      <x:c r="I24" s="183" t="n">
        <x:v>6788946784.535014</x:v>
      </x:c>
      <x:c r="J24" s="170" t="n">
        <x:v>1.0481945587428767</x:v>
      </x:c>
    </x:row>
    <x:row r="25">
      <x:c r="A25" s="170" t="n">
        <x:v>0.14</x:v>
      </x:c>
      <x:c r="B25" s="170" t="n">
        <x:v>0.4</x:v>
      </x:c>
      <x:c r="C25" s="215" t="b">
        <x:v>0</x:v>
      </x:c>
      <x:c r="D25" s="170" t="n">
        <x:v>0.8270833333333333</x:v>
      </x:c>
      <x:c r="E25" s="168" t="n">
        <x:v>1985</x:v>
      </x:c>
      <x:c r="F25" s="183" t="n">
        <x:v>65052251550.22977</x:v>
      </x:c>
      <x:c r="G25" s="183" t="n">
        <x:v>2471883269.4223776</x:v>
      </x:c>
      <x:c r="H25" s="183" t="n">
        <x:v>576760621.1856112</x:v>
      </x:c>
      <x:c r="I25" s="183" t="n">
        <x:v>6806180099.677626</x:v>
      </x:c>
      <x:c r="J25" s="170" t="n">
        <x:v>1.0462635708192618</x:v>
      </x:c>
    </x:row>
    <x:row r="26">
      <x:c r="A26" s="170" t="n">
        <x:v>0.16</x:v>
      </x:c>
      <x:c r="B26" s="170" t="n">
        <x:v>0.2</x:v>
      </x:c>
      <x:c r="C26" s="215" t="b">
        <x:v>0</x:v>
      </x:c>
      <x:c r="D26" s="170" t="n">
        <x:v>0.875</x:v>
      </x:c>
      <x:c r="E26" s="168" t="n">
        <x:v>2100</x:v>
      </x:c>
      <x:c r="F26" s="183" t="n">
        <x:v>68321850385.06142</x:v>
      </x:c>
      <x:c r="G26" s="183" t="n">
        <x:v>2780274832.3650217</x:v>
      </x:c>
      <x:c r="H26" s="183" t="n">
        <x:v>572477298.5557286</x:v>
      </x:c>
      <x:c r="I26" s="183" t="n">
        <x:v>6995634678.763767</x:v>
      </x:c>
      <x:c r="J26" s="170" t="n">
        <x:v>1.0239234797266796</x:v>
      </x:c>
    </x:row>
    <x:row r="27">
      <x:c r="A27" s="170" t="n">
        <x:v>0.16</x:v>
      </x:c>
      <x:c r="B27" s="170" t="n">
        <x:v>0.3</x:v>
      </x:c>
      <x:c r="C27" s="215" t="b">
        <x:v>0</x:v>
      </x:c>
      <x:c r="D27" s="170" t="n">
        <x:v>0.8825</x:v>
      </x:c>
      <x:c r="E27" s="168" t="n">
        <x:v>2118</x:v>
      </x:c>
      <x:c r="F27" s="183" t="n">
        <x:v>68883418111.35492</x:v>
      </x:c>
      <x:c r="G27" s="183" t="n">
        <x:v>2802850589.8450003</x:v>
      </x:c>
      <x:c r="H27" s="183" t="n">
        <x:v>597292620.7456264</x:v>
      </x:c>
      <x:c r="I27" s="183" t="n">
        <x:v>7033216596.669385</x:v>
      </x:c>
      <x:c r="J27" s="170" t="n">
        <x:v>1.0210318810398886</x:v>
      </x:c>
    </x:row>
    <x:row r="28">
      <x:c r="A28" s="186" t="n">
        <x:v>0.16</x:v>
      </x:c>
      <x:c r="B28" s="186" t="n">
        <x:v>0.4</x:v>
      </x:c>
      <x:c r="C28" s="216" t="b">
        <x:v>0</x:v>
      </x:c>
      <x:c r="D28" s="186" t="n">
        <x:v>0.885</x:v>
      </x:c>
      <x:c r="E28" s="169" t="n">
        <x:v>2124</x:v>
      </x:c>
      <x:c r="F28" s="184" t="n">
        <x:v>69167667119.41208</x:v>
      </x:c>
      <x:c r="G28" s="184" t="n">
        <x:v>2812256770.5690756</x:v>
      </x:c>
      <x:c r="H28" s="184" t="n">
        <x:v>614021721.1278012</x:v>
      </x:c>
      <x:c r="I28" s="184" t="n">
        <x:v>7050449911.811993</x:v>
      </x:c>
      <x:c r="J28" s="186" t="n">
        <x:v>1.019327411988609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 ht="27" customHeight="1">
      <x:c r="A2" s="154" t="str">
        <x:v>Live Decision Examples and Product Models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Representative synthetic applications show auditable model and policy outputs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Application</x:v>
      </x:c>
      <x:c r="B6" s="194" t="str">
        <x:v>Product</x:v>
      </x:c>
      <x:c r="C6" s="194" t="str">
        <x:v>Decision</x:v>
      </x:c>
      <x:c r="D6" s="194" t="str">
        <x:v>Primary reason</x:v>
      </x:c>
      <x:c r="E6" s="194" t="str">
        <x:v>Base PD</x:v>
      </x:c>
      <x:c r="F6" s="194" t="str">
        <x:v>Product PD</x:v>
      </x:c>
      <x:c r="G6" s="194" t="str">
        <x:v>Score</x:v>
      </x:c>
      <x:c r="H6" s="194" t="str">
        <x:v>Fraud score</x:v>
      </x:c>
      <x:c r="I6" s="194" t="str">
        <x:v>Approved limit</x:v>
      </x:c>
      <x:c r="J6" s="194" t="str">
        <x:v>Policy version</x:v>
      </x:c>
    </x:row>
    <x:row r="7">
      <x:c r="A7" s="167" t="str">
        <x:v>SIM-7ddc946e7b</x:v>
      </x:c>
      <x:c r="B7" s="167" t="str">
        <x:v>BNPL</x:v>
      </x:c>
      <x:c r="C7" s="167" t="str">
        <x:v>APPROVE</x:v>
      </x:c>
      <x:c r="D7" s="167" t="str">
        <x:v>POLICY_PASS</x:v>
      </x:c>
      <x:c r="E7" s="185" t="n">
        <x:v>0.10039</x:v>
      </x:c>
      <x:c r="F7" s="185" t="n">
        <x:v>0.05092</x:v>
      </x:c>
      <x:c r="G7" s="167" t="n">
        <x:v>595</x:v>
      </x:c>
      <x:c r="H7" s="185" t="n">
        <x:v>0.021499</x:v>
      </x:c>
      <x:c r="I7" s="182" t="n">
        <x:v>25000000</x:v>
      </x:c>
      <x:c r="J7" s="167" t="str">
        <x:v>TNEX_SIM_2.0</x:v>
      </x:c>
    </x:row>
    <x:row r="8">
      <x:c r="A8" s="168" t="str">
        <x:v>SIM-c0aea20ad9</x:v>
      </x:c>
      <x:c r="B8" s="168" t="str">
        <x:v>BUSINESS_LOAN</x:v>
      </x:c>
      <x:c r="C8" s="168" t="str">
        <x:v>APPROVE</x:v>
      </x:c>
      <x:c r="D8" s="168" t="str">
        <x:v>POLICY_PASS</x:v>
      </x:c>
      <x:c r="E8" s="170" t="n">
        <x:v>0.070913</x:v>
      </x:c>
      <x:c r="F8" s="170" t="n">
        <x:v>0.044621</x:v>
      </x:c>
      <x:c r="G8" s="168" t="n">
        <x:v>605</x:v>
      </x:c>
      <x:c r="H8" s="170" t="n">
        <x:v>0.021499</x:v>
      </x:c>
      <x:c r="I8" s="183" t="n">
        <x:v>14189026</x:v>
      </x:c>
      <x:c r="J8" s="168" t="str">
        <x:v>TNEX_SIM_2.0</x:v>
      </x:c>
    </x:row>
    <x:row r="9">
      <x:c r="A9" s="169" t="str">
        <x:v>SIM-5af98f9715</x:v>
      </x:c>
      <x:c r="B9" s="169" t="str">
        <x:v>CASH_LOAN</x:v>
      </x:c>
      <x:c r="C9" s="169" t="str">
        <x:v>REVIEW</x:v>
      </x:c>
      <x:c r="D9" s="169" t="str">
        <x:v>CREDIT_OR_AFFORDABILITY</x:v>
      </x:c>
      <x:c r="E9" s="186" t="n">
        <x:v>0.242525</x:v>
      </x:c>
      <x:c r="F9" s="186" t="n">
        <x:v>0.148884</x:v>
      </x:c>
      <x:c r="G9" s="169" t="n">
        <x:v>510</x:v>
      </x:c>
      <x:c r="H9" s="186" t="n">
        <x:v>0.021499</x:v>
      </x:c>
      <x:c r="I9" s="184" t="n">
        <x:v>0</x:v>
      </x:c>
      <x:c r="J9" s="169" t="str">
        <x:v>TNEX_SIM_2.0</x:v>
      </x:c>
    </x:row>
    <x:row r="13" ht="28" customHeight="1">
      <x:c r="A13" s="194" t="str">
        <x:v>Product</x:v>
      </x:c>
      <x:c r="B13" s="194" t="str">
        <x:v>Model ID</x:v>
      </x:c>
      <x:c r="C13" s="194" t="str">
        <x:v>Rows</x:v>
      </x:c>
      <x:c r="D13" s="194" t="str">
        <x:v>Predicted PD</x:v>
      </x:c>
      <x:c r="E13" s="194" t="str">
        <x:v>Observed bad rate</x:v>
      </x:c>
      <x:c r="F13" s="194" t="str">
        <x:v>Calibration gap</x:v>
      </x:c>
      <x:c r="G13" s="194" t="str">
        <x:v>Policy version</x:v>
      </x:c>
      <x:c r="H13" s="194" t="str">
        <x:v>Status</x:v>
      </x:c>
    </x:row>
    <x:row r="14">
      <x:c r="A14" s="167" t="str">
        <x:v>BNPL</x:v>
      </x:c>
      <x:c r="B14" s="167" t="str">
        <x:v>BNPL_PD_1.0</x:v>
      </x:c>
      <x:c r="C14" s="167" t="n">
        <x:v>707</x:v>
      </x:c>
      <x:c r="D14" s="185" t="n">
        <x:v>0.09282192711153389</x:v>
      </x:c>
      <x:c r="E14" s="185" t="n">
        <x:v>0.1471004243281471</x:v>
      </x:c>
      <x:c r="F14" s="185" t="n">
        <x:v>-0.05427849721661321</x:v>
      </x:c>
      <x:c r="G14" s="167" t="str">
        <x:v>TNEX_SIM_2.0</x:v>
      </x:c>
      <x:c r="H14" s="167" t="str">
        <x:v>PASS</x:v>
      </x:c>
    </x:row>
    <x:row r="15">
      <x:c r="A15" s="168" t="str">
        <x:v>BUSINESS_LOAN</x:v>
      </x:c>
      <x:c r="B15" s="168" t="str">
        <x:v>BUSINESS_LOAN_PD_1.0</x:v>
      </x:c>
      <x:c r="C15" s="168" t="n">
        <x:v>364</x:v>
      </x:c>
      <x:c r="D15" s="170" t="n">
        <x:v>0.09032659526868769</x:v>
      </x:c>
      <x:c r="E15" s="170" t="n">
        <x:v>0.1346153846153846</x:v>
      </x:c>
      <x:c r="F15" s="170" t="n">
        <x:v>-0.044288789346696916</x:v>
      </x:c>
      <x:c r="G15" s="168" t="str">
        <x:v>TNEX_SIM_2.0</x:v>
      </x:c>
      <x:c r="H15" s="168" t="str">
        <x:v>PASS</x:v>
      </x:c>
    </x:row>
    <x:row r="16">
      <x:c r="A16" s="169" t="str">
        <x:v>CASH_LOAN</x:v>
      </x:c>
      <x:c r="B16" s="169" t="str">
        <x:v>CASH_LOAN_PD_1.0</x:v>
      </x:c>
      <x:c r="C16" s="169" t="n">
        <x:v>1329</x:v>
      </x:c>
      <x:c r="D16" s="186" t="n">
        <x:v>0.09302235951680002</x:v>
      </x:c>
      <x:c r="E16" s="186" t="n">
        <x:v>0.12415349887133183</x:v>
      </x:c>
      <x:c r="F16" s="186" t="n">
        <x:v>-0.03113113935453181</x:v>
      </x:c>
      <x:c r="G16" s="169" t="str">
        <x:v>TNEX_SIM_2.0</x:v>
      </x:c>
      <x:c r="H16" s="169" t="str">
        <x:v>PASS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4" hidden="0" customWidth="1"/>
    <x:col min="7" max="7" width="29" hidden="0" customWidth="1"/>
    <x:col min="9" max="9" width="3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 ht="27" customHeight="1">
      <x:c r="A2" s="154" t="str">
        <x:v>Fraud Network and Collections Next-Best-Action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Linked-device risks and customer-treatment controls remain separate and explainable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194" t="str">
        <x:v>Device cluster</x:v>
      </x:c>
      <x:c r="B6" s="194" t="str">
        <x:v>Linked applications</x:v>
      </x:c>
      <x:c r="C6" s="194" t="str">
        <x:v>Products</x:v>
      </x:c>
      <x:c r="D6" s="194" t="str">
        <x:v>Mean fraud score</x:v>
      </x:c>
      <x:c r="E6" s="194" t="str">
        <x:v>Requested amount</x:v>
      </x:c>
      <x:c r="F6" s="194" t="str">
        <x:v>Risk</x:v>
      </x:c>
      <x:c r="G6" s="194" t="str">
        <x:v>Action</x:v>
      </x:c>
      <x:c r="I6" s="194" t="str">
        <x:v>Next-best-action</x:v>
      </x:c>
      <x:c r="J6" s="194" t="str">
        <x:v>Accounts</x:v>
      </x:c>
      <x:c r="K6" s="194" t="str">
        <x:v>Mean DPD</x:v>
      </x:c>
      <x:c r="L6" s="194" t="str">
        <x:v>Mean PD</x:v>
      </x:c>
      <x:c r="M6" s="194" t="str">
        <x:v>Contact allowed</x:v>
      </x:c>
    </x:row>
    <x:row r="7">
      <x:c r="A7" s="167" t="n">
        <x:v>3</x:v>
      </x:c>
      <x:c r="B7" s="167" t="n">
        <x:v>6</x:v>
      </x:c>
      <x:c r="C7" s="167" t="n">
        <x:v>3</x:v>
      </x:c>
      <x:c r="D7" s="185" t="n">
        <x:v>0.047589018719213</x:v>
      </x:c>
      <x:c r="E7" s="182" t="n">
        <x:v>461758428</x:v>
      </x:c>
      <x:c r="F7" s="167" t="str">
        <x:v>HIGH</x:v>
      </x:c>
      <x:c r="G7" s="167" t="str">
        <x:v>BLOCK_AND_INVESTIGATE</x:v>
      </x:c>
      <x:c r="I7" s="167" t="str">
        <x:v>DIGITAL_PROMISE_TO_PAY</x:v>
      </x:c>
      <x:c r="J7" s="167" t="n">
        <x:v>129</x:v>
      </x:c>
      <x:c r="K7" s="167" t="n">
        <x:v>41.627906976744185</x:v>
      </x:c>
      <x:c r="L7" s="185" t="n">
        <x:v>0.0918081977657525</x:v>
      </x:c>
      <x:c r="M7" s="185" t="n">
        <x:v>1</x:v>
      </x:c>
    </x:row>
    <x:row r="8">
      <x:c r="A8" s="168" t="n">
        <x:v>12</x:v>
      </x:c>
      <x:c r="B8" s="168" t="n">
        <x:v>5</x:v>
      </x:c>
      <x:c r="C8" s="168" t="n">
        <x:v>2</x:v>
      </x:c>
      <x:c r="D8" s="170" t="n">
        <x:v>0.052034892407629464</x:v>
      </x:c>
      <x:c r="E8" s="183" t="n">
        <x:v>310203820</x:v>
      </x:c>
      <x:c r="F8" s="168" t="str">
        <x:v>HIGH</x:v>
      </x:c>
      <x:c r="G8" s="168" t="str">
        <x:v>BLOCK_AND_INVESTIGATE</x:v>
      </x:c>
      <x:c r="I8" s="168" t="str">
        <x:v>FRIENDLY_APP_REMINDER</x:v>
      </x:c>
      <x:c r="J8" s="168" t="n">
        <x:v>164</x:v>
      </x:c>
      <x:c r="K8" s="168" t="n">
        <x:v>10.487804878048781</x:v>
      </x:c>
      <x:c r="L8" s="170" t="n">
        <x:v>0.089090559172566</x:v>
      </x:c>
      <x:c r="M8" s="170" t="n">
        <x:v>1</x:v>
      </x:c>
    </x:row>
    <x:row r="9">
      <x:c r="A9" s="168" t="n">
        <x:v>17</x:v>
      </x:c>
      <x:c r="B9" s="168" t="n">
        <x:v>5</x:v>
      </x:c>
      <x:c r="C9" s="168" t="n">
        <x:v>3</x:v>
      </x:c>
      <x:c r="D9" s="170" t="n">
        <x:v>0.04822284311341632</x:v>
      </x:c>
      <x:c r="E9" s="183" t="n">
        <x:v>227760053</x:v>
      </x:c>
      <x:c r="F9" s="168" t="str">
        <x:v>HIGH</x:v>
      </x:c>
      <x:c r="G9" s="168" t="str">
        <x:v>BLOCK_AND_INVESTIGATE</x:v>
      </x:c>
      <x:c r="I9" s="168" t="str">
        <x:v>INTENSIVE_RECOVERY_REVIEW</x:v>
      </x:c>
      <x:c r="J9" s="168" t="n">
        <x:v>46</x:v>
      </x:c>
      <x:c r="K9" s="168" t="n">
        <x:v>90</x:v>
      </x:c>
      <x:c r="L9" s="170" t="n">
        <x:v>0.0829411465229474</x:v>
      </x:c>
      <x:c r="M9" s="170" t="n">
        <x:v>1</x:v>
      </x:c>
    </x:row>
    <x:row r="10">
      <x:c r="A10" s="168" t="n">
        <x:v>10</x:v>
      </x:c>
      <x:c r="B10" s="168" t="n">
        <x:v>4</x:v>
      </x:c>
      <x:c r="C10" s="168" t="n">
        <x:v>2</x:v>
      </x:c>
      <x:c r="D10" s="170" t="n">
        <x:v>0.08150364310947537</x:v>
      </x:c>
      <x:c r="E10" s="183" t="n">
        <x:v>431419685</x:v>
      </x:c>
      <x:c r="F10" s="168" t="str">
        <x:v>MEDIUM</x:v>
      </x:c>
      <x:c r="G10" s="168" t="str">
        <x:v>STEP_UP_VERIFICATION</x:v>
      </x:c>
      <x:c r="I10" s="168" t="str">
        <x:v>NO_ACTION</x:v>
      </x:c>
      <x:c r="J10" s="168" t="n">
        <x:v>221</x:v>
      </x:c>
      <x:c r="K10" s="168" t="n">
        <x:v>0</x:v>
      </x:c>
      <x:c r="L10" s="170" t="n">
        <x:v>0.09259504588986973</x:v>
      </x:c>
      <x:c r="M10" s="170" t="n">
        <x:v>1</x:v>
      </x:c>
    </x:row>
    <x:row r="11">
      <x:c r="A11" s="168" t="n">
        <x:v>15</x:v>
      </x:c>
      <x:c r="B11" s="168" t="n">
        <x:v>4</x:v>
      </x:c>
      <x:c r="C11" s="168" t="n">
        <x:v>1</x:v>
      </x:c>
      <x:c r="D11" s="170" t="n">
        <x:v>0.0510565577243</x:v>
      </x:c>
      <x:c r="E11" s="183" t="n">
        <x:v>281466888</x:v>
      </x:c>
      <x:c r="F11" s="168" t="str">
        <x:v>MEDIUM</x:v>
      </x:c>
      <x:c r="G11" s="168" t="str">
        <x:v>STEP_UP_VERIFICATION</x:v>
      </x:c>
      <x:c r="I11" s="168" t="str">
        <x:v>SPECIALIST_HARDSHIP_REVIEW</x:v>
      </x:c>
      <x:c r="J11" s="168" t="n">
        <x:v>33</x:v>
      </x:c>
      <x:c r="K11" s="168" t="n">
        <x:v>13.93939393939394</x:v>
      </x:c>
      <x:c r="L11" s="170" t="n">
        <x:v>0.09355895391132928</x:v>
      </x:c>
      <x:c r="M11" s="170" t="n">
        <x:v>1</x:v>
      </x:c>
    </x:row>
    <x:row r="12">
      <x:c r="A12" s="168" t="n">
        <x:v>6</x:v>
      </x:c>
      <x:c r="B12" s="168" t="n">
        <x:v>4</x:v>
      </x:c>
      <x:c r="C12" s="168" t="n">
        <x:v>3</x:v>
      </x:c>
      <x:c r="D12" s="170" t="n">
        <x:v>0.0303394859914308</x:v>
      </x:c>
      <x:c r="E12" s="183" t="n">
        <x:v>192291192</x:v>
      </x:c>
      <x:c r="F12" s="168" t="str">
        <x:v>MEDIUM</x:v>
      </x:c>
      <x:c r="G12" s="168" t="str">
        <x:v>STEP_UP_VERIFICATION</x:v>
      </x:c>
      <x:c r="I12" s="169" t="str">
        <x:v>SUPPRESS_CONTACT_RECONCILE_PAYMENT</x:v>
      </x:c>
      <x:c r="J12" s="169" t="n">
        <x:v>7</x:v>
      </x:c>
      <x:c r="K12" s="169" t="n">
        <x:v>17.142857142857142</x:v>
      </x:c>
      <x:c r="L12" s="186" t="n">
        <x:v>0.10703952018987985</x:v>
      </x:c>
      <x:c r="M12" s="186" t="n">
        <x:v>0</x:v>
      </x:c>
    </x:row>
    <x:row r="13">
      <x:c r="A13" s="168" t="n">
        <x:v>7</x:v>
      </x:c>
      <x:c r="B13" s="168" t="n">
        <x:v>3</x:v>
      </x:c>
      <x:c r="C13" s="168" t="n">
        <x:v>1</x:v>
      </x:c>
      <x:c r="D13" s="170" t="n">
        <x:v>0.09696094332127465</x:v>
      </x:c>
      <x:c r="E13" s="183" t="n">
        <x:v>75248884</x:v>
      </x:c>
      <x:c r="F13" s="168" t="str">
        <x:v>MEDIUM</x:v>
      </x:c>
      <x:c r="G13" s="168" t="str">
        <x:v>STEP_UP_VERIFICATION</x:v>
      </x:c>
    </x:row>
    <x:row r="14">
      <x:c r="A14" s="168" t="n">
        <x:v>4</x:v>
      </x:c>
      <x:c r="B14" s="168" t="n">
        <x:v>3</x:v>
      </x:c>
      <x:c r="C14" s="168" t="n">
        <x:v>1</x:v>
      </x:c>
      <x:c r="D14" s="170" t="n">
        <x:v>0.0575490015559191</x:v>
      </x:c>
      <x:c r="E14" s="183" t="n">
        <x:v>205987004</x:v>
      </x:c>
      <x:c r="F14" s="168" t="str">
        <x:v>MEDIUM</x:v>
      </x:c>
      <x:c r="G14" s="168" t="str">
        <x:v>STEP_UP_VERIFICATION</x:v>
      </x:c>
    </x:row>
    <x:row r="15">
      <x:c r="A15" s="168" t="n">
        <x:v>14</x:v>
      </x:c>
      <x:c r="B15" s="168" t="n">
        <x:v>3</x:v>
      </x:c>
      <x:c r="C15" s="168" t="n">
        <x:v>2</x:v>
      </x:c>
      <x:c r="D15" s="170" t="n">
        <x:v>0.026981743574310865</x:v>
      </x:c>
      <x:c r="E15" s="183" t="n">
        <x:v>137306156</x:v>
      </x:c>
      <x:c r="F15" s="168" t="str">
        <x:v>MEDIUM</x:v>
      </x:c>
      <x:c r="G15" s="168" t="str">
        <x:v>STEP_UP_VERIFICATION</x:v>
      </x:c>
    </x:row>
    <x:row r="16">
      <x:c r="A16" s="168" t="n">
        <x:v>1</x:v>
      </x:c>
      <x:c r="B16" s="168" t="n">
        <x:v>2</x:v>
      </x:c>
      <x:c r="C16" s="168" t="n">
        <x:v>2</x:v>
      </x:c>
      <x:c r="D16" s="170" t="n">
        <x:v>0.112623690196124</x:v>
      </x:c>
      <x:c r="E16" s="183" t="n">
        <x:v>136390998</x:v>
      </x:c>
      <x:c r="F16" s="168" t="str">
        <x:v>MEDIUM</x:v>
      </x:c>
      <x:c r="G16" s="168" t="str">
        <x:v>STEP_UP_VERIFICATION</x:v>
      </x:c>
    </x:row>
    <x:row r="17">
      <x:c r="A17" s="168" t="n">
        <x:v>5</x:v>
      </x:c>
      <x:c r="B17" s="168" t="n">
        <x:v>2</x:v>
      </x:c>
      <x:c r="C17" s="168" t="n">
        <x:v>2</x:v>
      </x:c>
      <x:c r="D17" s="170" t="n">
        <x:v>0.11028166276396126</x:v>
      </x:c>
      <x:c r="E17" s="183" t="n">
        <x:v>65462229</x:v>
      </x:c>
      <x:c r="F17" s="168" t="str">
        <x:v>MEDIUM</x:v>
      </x:c>
      <x:c r="G17" s="168" t="str">
        <x:v>STEP_UP_VERIFICATION</x:v>
      </x:c>
    </x:row>
    <x:row r="18">
      <x:c r="A18" s="168" t="n">
        <x:v>9</x:v>
      </x:c>
      <x:c r="B18" s="168" t="n">
        <x:v>2</x:v>
      </x:c>
      <x:c r="C18" s="168" t="n">
        <x:v>1</x:v>
      </x:c>
      <x:c r="D18" s="170" t="n">
        <x:v>0.0544112169957128</x:v>
      </x:c>
      <x:c r="E18" s="183" t="n">
        <x:v>88958428</x:v>
      </x:c>
      <x:c r="F18" s="168" t="str">
        <x:v>MEDIUM</x:v>
      </x:c>
      <x:c r="G18" s="168" t="str">
        <x:v>STEP_UP_VERIFICATION</x:v>
      </x:c>
    </x:row>
    <x:row r="19">
      <x:c r="A19" s="169" t="n">
        <x:v>13</x:v>
      </x:c>
      <x:c r="B19" s="169" t="n">
        <x:v>2</x:v>
      </x:c>
      <x:c r="C19" s="169" t="n">
        <x:v>1</x:v>
      </x:c>
      <x:c r="D19" s="186" t="n">
        <x:v>0.0314623637187281</x:v>
      </x:c>
      <x:c r="E19" s="184" t="n">
        <x:v>201879985</x:v>
      </x:c>
      <x:c r="F19" s="169" t="str">
        <x:v>MEDIUM</x:v>
      </x:c>
      <x:c r="G19" s="169" t="str">
        <x:v>STEP_UP_VERIFICATION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25" hidden="0" customWidth="1"/>
    <x:col min="5" max="5" width="54" hidden="0" customWidth="1"/>
    <x:col min="6" max="6" width="18" hidden="0" customWidth="1"/>
    <x:col min="7" max="7" width="18" hidden="0" customWidth="1"/>
    <x:col min="8" max="8" width="18" hidden="0" customWidth="1"/>
    <x:col min="1" max="1" width="28" hidden="0" customWidth="1"/>
    <x:col min="2" max="2" width="23" hidden="0" customWidth="1"/>
  </x:cols>
  <x:sheetData>
    <x:row r="2" ht="27" customHeight="1">
      <x:c r="A2" s="154" t="str">
        <x:v>V9 Production Credit Risk and Decision Intelligence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Synthetic portfolio; not an official TNEX model or affiliated implementation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221" t="str">
        <x:v>Metric</x:v>
      </x:c>
      <x:c r="B6" s="221" t="str">
        <x:v>Result</x:v>
      </x:c>
      <x:c r="D6" s="221" t="str">
        <x:v>Committee section</x:v>
      </x:c>
      <x:c r="E6" s="221" t="str">
        <x:v>Decision</x:v>
      </x:c>
      <x:c r="F6" s="221" t="str">
        <x:v>Metric</x:v>
      </x:c>
      <x:c r="G6" s="221" t="str">
        <x:v>Status</x:v>
      </x:c>
      <x:c r="H6" s="221" t="str">
        <x:v>Owner</x:v>
      </x:c>
    </x:row>
    <x:row r="7">
      <x:c r="A7" s="167" t="str">
        <x:v>Build</x:v>
      </x:c>
      <x:c r="B7" s="167" t="str">
        <x:v>V9.0</x:v>
      </x:c>
      <x:c r="D7" s="167" t="str">
        <x:v>Portfolio recommendation</x:v>
      </x:c>
      <x:c r="E7" s="167" t="str">
        <x:v>Allocate 50% Cash Loan, 10% BNPL and 40% Business Loan</x:v>
      </x:c>
      <x:c r="F7" s="167" t="n">
        <x:v>78617096813.70699</x:v>
      </x:c>
      <x:c r="G7" s="167" t="str">
        <x:v>RECOMMEND</x:v>
      </x:c>
      <x:c r="H7" s="167" t="str">
        <x:v>CRO</x:v>
      </x:c>
    </x:row>
    <x:row r="8">
      <x:c r="A8" s="168" t="str">
        <x:v>Product models</x:v>
      </x:c>
      <x:c r="B8" s="168" t="n">
        <x:v>3</x:v>
      </x:c>
      <x:c r="D8" s="168" t="str">
        <x:v>Model approval</x:v>
      </x:c>
      <x:c r="E8" s="168" t="str">
        <x:v>Retain all product models in shadow mode pending live-data validation</x:v>
      </x:c>
      <x:c r="F8" s="168" t="n">
        <x:v>2</x:v>
      </x:c>
      <x:c r="G8" s="168" t="str">
        <x:v>CONDITIONAL</x:v>
      </x:c>
      <x:c r="H8" s="168" t="str">
        <x:v>Model Risk Committee</x:v>
      </x:c>
    </x:row>
    <x:row r="9">
      <x:c r="A9" s="168" t="str">
        <x:v>Models passing</x:v>
      </x:c>
      <x:c r="B9" s="168" t="n">
        <x:v>2</x:v>
      </x:c>
      <x:c r="D9" s="168" t="str">
        <x:v>Fraud control</x:v>
      </x:c>
      <x:c r="E9" s="168" t="str">
        <x:v>Continue canary with linked-device false-positive review</x:v>
      </x:c>
      <x:c r="F9" s="168" t="n">
        <x:v>1</x:v>
      </x:c>
      <x:c r="G9" s="168" t="str">
        <x:v>ACTION</x:v>
      </x:c>
      <x:c r="H9" s="168" t="str">
        <x:v>Fraud Risk</x:v>
      </x:c>
    </x:row>
    <x:row r="10">
      <x:c r="A10" s="168" t="str">
        <x:v>Portfolio capacity</x:v>
      </x:c>
      <x:c r="B10" s="183" t="n">
        <x:v>1000000000000</x:v>
      </x:c>
      <x:c r="D10" s="169" t="str">
        <x:v>Customer outcomes</x:v>
      </x:c>
      <x:c r="E10" s="169" t="str">
        <x:v>Review any responsible-lending metric outside threshold monthly</x:v>
      </x:c>
      <x:c r="F10" s="169" t="n">
        <x:v>1</x:v>
      </x:c>
      <x:c r="G10" s="169" t="str">
        <x:v>MONITOR</x:v>
      </x:c>
      <x:c r="H10" s="169" t="str">
        <x:v>Customer Committee</x:v>
      </x:c>
    </x:row>
    <x:row r="11">
      <x:c r="A11" s="168" t="str">
        <x:v>Cash Loan allocation</x:v>
      </x:c>
      <x:c r="B11" s="170" t="n">
        <x:v>0.5</x:v>
      </x:c>
    </x:row>
    <x:row r="12" ht="28" customHeight="1">
      <x:c r="A12" s="168" t="str">
        <x:v>BNPL allocation</x:v>
      </x:c>
      <x:c r="B12" s="170" t="n">
        <x:v>0.1</x:v>
      </x:c>
      <x:c r="D12" s="221" t="str">
        <x:v>Decision boundary</x:v>
      </x:c>
      <x:c r="E12" s="221"/>
      <x:c r="F12" s="221"/>
      <x:c r="G12" s="221"/>
      <x:c r="H12" s="221"/>
    </x:row>
    <x:row r="13">
      <x:c r="A13" s="168" t="str">
        <x:v>Business Loan allocation</x:v>
      </x:c>
      <x:c r="B13" s="170" t="n">
        <x:v>0.4</x:v>
      </x:c>
      <x:c r="D13" s="225" t="str">
        <x:v>Cash Loan and BNPL pass the synthetic thresholds. Business Loan remains under review and must not enter production until more sales-history data, recalibration and independent validation are complete.</x:v>
      </x:c>
      <x:c r="E13" s="225"/>
      <x:c r="F13" s="225"/>
      <x:c r="G13" s="225"/>
      <x:c r="H13" s="225"/>
    </x:row>
    <x:row r="14">
      <x:c r="A14" s="168" t="str">
        <x:v>Expected credit loss</x:v>
      </x:c>
      <x:c r="B14" s="183" t="n">
        <x:v>68982903186.29301</x:v>
      </x:c>
      <x:c r="D14" s="225"/>
      <x:c r="E14" s="225"/>
      <x:c r="F14" s="225"/>
      <x:c r="G14" s="225"/>
      <x:c r="H14" s="225"/>
    </x:row>
    <x:row r="15">
      <x:c r="A15" s="168" t="str">
        <x:v>Net contribution</x:v>
      </x:c>
      <x:c r="B15" s="183" t="n">
        <x:v>78617096813.70699</x:v>
      </x:c>
      <x:c r="D15" s="225"/>
      <x:c r="E15" s="225"/>
      <x:c r="F15" s="225"/>
      <x:c r="G15" s="225"/>
      <x:c r="H15" s="225"/>
    </x:row>
    <x:row r="16">
      <x:c r="A16" s="169" t="str">
        <x:v>Portfolio RAROC</x:v>
      </x:c>
      <x:c r="B16" s="186" t="n">
        <x:v>0.6551424734475582</x:v>
      </x:c>
      <x:c r="D16" s="225"/>
      <x:c r="E16" s="225"/>
      <x:c r="F16" s="225"/>
      <x:c r="G16" s="225"/>
      <x:c r="H16" s="225"/>
    </x:row>
  </x:sheetData>
  <x:mergeCells>
    <x:mergeCell ref="A2:J2"/>
    <x:mergeCell ref="A3:J3"/>
    <x:mergeCell ref="D12:H12"/>
    <x:mergeCell ref="D13:H16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 ht="27" customHeight="1">
      <x:c r="A2" s="154" t="str">
        <x:v>Product Model Out-of-Time Validation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Each product uses an independent preprocessing, training and model artifact pipeline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221" t="str">
        <x:v>Product</x:v>
      </x:c>
      <x:c r="B6" s="221" t="str">
        <x:v>Model ID</x:v>
      </x:c>
      <x:c r="C6" s="221" t="str">
        <x:v>Train rows</x:v>
      </x:c>
      <x:c r="D6" s="221" t="str">
        <x:v>OOT rows</x:v>
      </x:c>
      <x:c r="E6" s="221" t="str">
        <x:v>AUC</x:v>
      </x:c>
      <x:c r="F6" s="221" t="str">
        <x:v>Gini</x:v>
      </x:c>
      <x:c r="G6" s="221" t="str">
        <x:v>KS</x:v>
      </x:c>
      <x:c r="H6" s="221" t="str">
        <x:v>Brier</x:v>
      </x:c>
      <x:c r="I6" s="221" t="str">
        <x:v>Predicted PD</x:v>
      </x:c>
      <x:c r="J6" s="221" t="str">
        <x:v>Observed bad rate</x:v>
      </x:c>
      <x:c r="K6" s="221" t="str">
        <x:v>Calibration gap</x:v>
      </x:c>
      <x:c r="L6" s="221" t="str">
        <x:v>Status</x:v>
      </x:c>
    </x:row>
    <x:row r="7">
      <x:c r="A7" s="167" t="str">
        <x:v>BNPL</x:v>
      </x:c>
      <x:c r="B7" s="167" t="str">
        <x:v>BNPL_PD_2.0</x:v>
      </x:c>
      <x:c r="C7" s="167" t="n">
        <x:v>530</x:v>
      </x:c>
      <x:c r="D7" s="167" t="n">
        <x:v>177</x:v>
      </x:c>
      <x:c r="E7" s="226" t="n">
        <x:v>0.7977632805219013</x:v>
      </x:c>
      <x:c r="F7" s="226" t="n">
        <x:v>0.5955265610438025</x:v>
      </x:c>
      <x:c r="G7" s="226" t="n">
        <x:v>0.5228331780055918</x:v>
      </x:c>
      <x:c r="H7" s="226" t="n">
        <x:v>0.11648695597880342</x:v>
      </x:c>
      <x:c r="I7" s="185" t="n">
        <x:v>0.1506534220636138</x:v>
      </x:c>
      <x:c r="J7" s="185" t="n">
        <x:v>0.1638418079096045</x:v>
      </x:c>
      <x:c r="K7" s="185" t="n">
        <x:v>-0.013188385845990719</x:v>
      </x:c>
      <x:c r="L7" s="167" t="str">
        <x:v>PASS</x:v>
      </x:c>
    </x:row>
    <x:row r="8">
      <x:c r="A8" s="168" t="str">
        <x:v>BUSINESS_LOAN</x:v>
      </x:c>
      <x:c r="B8" s="168" t="str">
        <x:v>BUSINESS_LOAN_PD_2.0</x:v>
      </x:c>
      <x:c r="C8" s="168" t="n">
        <x:v>273</x:v>
      </x:c>
      <x:c r="D8" s="168" t="n">
        <x:v>91</x:v>
      </x:c>
      <x:c r="E8" s="227" t="n">
        <x:v>0.5677506775067751</x:v>
      </x:c>
      <x:c r="F8" s="227" t="n">
        <x:v>0.1355013550135502</x:v>
      </x:c>
      <x:c r="G8" s="227" t="n">
        <x:v>0.2804878048780488</x:v>
      </x:c>
      <x:c r="H8" s="227" t="n">
        <x:v>0.09497635799063732</x:v>
      </x:c>
      <x:c r="I8" s="170" t="n">
        <x:v>0.14809356798028678</x:v>
      </x:c>
      <x:c r="J8" s="170" t="n">
        <x:v>0.0989010989010989</x:v>
      </x:c>
      <x:c r="K8" s="170" t="n">
        <x:v>0.04919246907918788</x:v>
      </x:c>
      <x:c r="L8" s="168" t="str">
        <x:v>REVIEW</x:v>
      </x:c>
    </x:row>
    <x:row r="9">
      <x:c r="A9" s="169" t="str">
        <x:v>CASH_LOAN</x:v>
      </x:c>
      <x:c r="B9" s="169" t="str">
        <x:v>CASH_LOAN_PD_2.0</x:v>
      </x:c>
      <x:c r="C9" s="169" t="n">
        <x:v>996</x:v>
      </x:c>
      <x:c r="D9" s="169" t="n">
        <x:v>333</x:v>
      </x:c>
      <x:c r="E9" s="228" t="n">
        <x:v>0.7010233918128655</x:v>
      </x:c>
      <x:c r="F9" s="228" t="n">
        <x:v>0.4020467836257311</x:v>
      </x:c>
      <x:c r="G9" s="228" t="n">
        <x:v>0.3442982456140351</x:v>
      </x:c>
      <x:c r="H9" s="228" t="n">
        <x:v>0.11611029308188708</x:v>
      </x:c>
      <x:c r="I9" s="186" t="n">
        <x:v>0.1123048326041209</x:v>
      </x:c>
      <x:c r="J9" s="186" t="n">
        <x:v>0.14414414414414414</x:v>
      </x:c>
      <x:c r="K9" s="186" t="n">
        <x:v>-0.031839311540023243</x:v>
      </x:c>
      <x:c r="L9" s="169" t="str">
        <x:v>PASS</x:v>
      </x:c>
    </x:row>
  </x:sheetData>
  <x:mergeCells>
    <x:mergeCell ref="A2:J2"/>
    <x:mergeCell ref="A3:J3"/>
  </x:mergeCells>
  <x:conditionalFormatting sqref="L7:L9">
    <x:cfRule type="containsText" dxfId="12" priority="1" operator="containsText" text="REVIEW"/>
  </x:conditionalFormatting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27" customHeight="1">
      <x:c r="A2" s="154" t="str">
        <x:v>Portfolio Risk Appetite and Allocation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Blue shares select a simulated allocation; they must total 100%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221" t="str">
        <x:v>Cash Loan share</x:v>
      </x:c>
      <x:c r="B6" s="231" t="n">
        <x:v>0.5</x:v>
      </x:c>
      <x:c r="C6" s="221" t="str">
        <x:v>BNPL share</x:v>
      </x:c>
      <x:c r="D6" s="231" t="n">
        <x:v>0.1</x:v>
      </x:c>
      <x:c r="E6" s="221" t="str">
        <x:v>Business Loan share</x:v>
      </x:c>
      <x:c r="F6" s="231" t="n">
        <x:v>0.4</x:v>
      </x:c>
    </x:row>
    <x:row r="8" ht="28" customHeight="1">
      <x:c r="A8" s="221" t="str">
        <x:v>Share total</x:v>
      </x:c>
      <x:c r="B8" s="221" t="str">
        <x:v>Weighted bad rate</x:v>
      </x:c>
      <x:c r="C8" s="221" t="str">
        <x:v>Expected credit loss</x:v>
      </x:c>
      <x:c r="D8" s="221" t="str">
        <x:v>Net contribution</x:v>
      </x:c>
      <x:c r="E8" s="221" t="str">
        <x:v>RAROC</x:v>
      </x:c>
      <x:c r="F8" s="221" t="str">
        <x:v>Max product share</x:v>
      </x:c>
      <x:c r="G8" s="221" t="str">
        <x:v>Status</x:v>
      </x:c>
    </x:row>
    <x:row r="9">
      <x:c r="A9" s="124" t="n">
        <x:f>SUM(B6,D6,F6)</x:f>
        <x:v>1</x:v>
      </x:c>
      <x:c r="B9" s="124" t="n">
        <x:f>SUMIFS(E14:E28,A14:A28,B6,B14:B28,D6,C14:C28,F6)</x:f>
        <x:v>0.12801669242347208</x:v>
      </x:c>
      <x:c r="C9" s="125" t="n">
        <x:f>SUMIFS(F14:F28,A14:A28,B6,B14:B28,D6,C14:C28,F6)</x:f>
        <x:v>68982903186.29301</x:v>
      </x:c>
      <x:c r="D9" s="125" t="n">
        <x:f>SUMIFS(G14:G28,A14:A28,B6,B14:B28,D6,C14:C28,F6)</x:f>
        <x:v>78617096813.70699</x:v>
      </x:c>
      <x:c r="E9" s="124" t="n">
        <x:f>SUMIFS(H14:H28,A14:A28,B6,B14:B28,D6,C14:C28,F6)</x:f>
        <x:v>0.6551424734475582</x:v>
      </x:c>
      <x:c r="F9" s="124" t="n">
        <x:f>MAX(B6,D6,F6)</x:f>
        <x:v>0.5</x:v>
      </x:c>
      <x:c r="G9" t="str">
        <x:f>IF(AND(A9=100%,B9&lt;=13%,C9&lt;=75000000000,F9&lt;=60%),"PASS","BREACH OR INVALID")</x:f>
        <x:v>PASS</x:v>
      </x:c>
    </x:row>
    <x:row r="13" ht="28" customHeight="1">
      <x:c r="A13" s="221" t="str">
        <x:v>Cash share</x:v>
      </x:c>
      <x:c r="B13" s="221" t="str">
        <x:v>BNPL share</x:v>
      </x:c>
      <x:c r="C13" s="221" t="str">
        <x:v>Business share</x:v>
      </x:c>
      <x:c r="D13" s="221" t="str">
        <x:v>Portfolio</x:v>
      </x:c>
      <x:c r="E13" s="221" t="str">
        <x:v>Weighted bad rate</x:v>
      </x:c>
      <x:c r="F13" s="221" t="str">
        <x:v>ECL</x:v>
      </x:c>
      <x:c r="G13" s="221" t="str">
        <x:v>Contribution</x:v>
      </x:c>
      <x:c r="H13" s="221" t="str">
        <x:v>RAROC</x:v>
      </x:c>
      <x:c r="I13" s="221" t="str">
        <x:v>Status</x:v>
      </x:c>
    </x:row>
    <x:row r="14">
      <x:c r="A14" s="185" t="n">
        <x:v>0.1</x:v>
      </x:c>
      <x:c r="B14" s="185" t="n">
        <x:v>0.3</x:v>
      </x:c>
      <x:c r="C14" s="185" t="n">
        <x:v>0.6</x:v>
      </x:c>
      <x:c r="D14" s="182" t="n">
        <x:v>1000000000000</x:v>
      </x:c>
      <x:c r="E14" s="185" t="n">
        <x:v>0.1229076161279551</x:v>
      </x:c>
      <x:c r="F14" s="182" t="n">
        <x:v>61420148030.31752</x:v>
      </x:c>
      <x:c r="G14" s="182" t="n">
        <x:v>63179851969.68248</x:v>
      </x:c>
      <x:c r="H14" s="185" t="n">
        <x:v>0.5264987664140207</x:v>
      </x:c>
      <x:c r="I14" s="167" t="str">
        <x:v>PASS</x:v>
      </x:c>
    </x:row>
    <x:row r="15">
      <x:c r="A15" s="170" t="n">
        <x:v>0.1</x:v>
      </x:c>
      <x:c r="B15" s="170" t="n">
        <x:v>0.4</x:v>
      </x:c>
      <x:c r="C15" s="170" t="n">
        <x:v>0.5</x:v>
      </x:c>
      <x:c r="D15" s="183" t="n">
        <x:v>1000000000000</x:v>
      </x:c>
      <x:c r="E15" s="170" t="n">
        <x:v>0.12940168702880567</x:v>
      </x:c>
      <x:c r="F15" s="183" t="n">
        <x:v>64864985678.545</x:v>
      </x:c>
      <x:c r="G15" s="183" t="n">
        <x:v>56835014321.455</x:v>
      </x:c>
      <x:c r="H15" s="170" t="n">
        <x:v>0.47362511934545837</x:v>
      </x:c>
      <x:c r="I15" s="168" t="str">
        <x:v>PASS</x:v>
      </x:c>
    </x:row>
    <x:row r="16">
      <x:c r="A16" s="170" t="n">
        <x:v>0.1</x:v>
      </x:c>
      <x:c r="B16" s="170" t="n">
        <x:v>0.5</x:v>
      </x:c>
      <x:c r="C16" s="170" t="n">
        <x:v>0.4</x:v>
      </x:c>
      <x:c r="D16" s="183" t="n">
        <x:v>1000000000000</x:v>
      </x:c>
      <x:c r="E16" s="170" t="n">
        <x:v>0.13589575792965622</x:v>
      </x:c>
      <x:c r="F16" s="183" t="n">
        <x:v>68309823326.77248</x:v>
      </x:c>
      <x:c r="G16" s="183" t="n">
        <x:v>50490176673.22752</x:v>
      </x:c>
      <x:c r="H16" s="170" t="n">
        <x:v>0.420751472276896</x:v>
      </x:c>
      <x:c r="I16" s="168" t="str">
        <x:v>BREACH</x:v>
      </x:c>
    </x:row>
    <x:row r="17">
      <x:c r="A17" s="170" t="n">
        <x:v>0.2</x:v>
      </x:c>
      <x:c r="B17" s="170" t="n">
        <x:v>0.2</x:v>
      </x:c>
      <x:c r="C17" s="170" t="n">
        <x:v>0.6</x:v>
      </x:c>
      <x:c r="D17" s="183" t="n">
        <x:v>1000000000000</x:v>
      </x:c>
      <x:c r="E17" s="170" t="n">
        <x:v>0.12093784975140907</x:v>
      </x:c>
      <x:c r="F17" s="183" t="n">
        <x:v>61588417995.197655</x:v>
      </x:c>
      <x:c r="G17" s="183" t="n">
        <x:v>70211582004.80234</x:v>
      </x:c>
      <x:c r="H17" s="170" t="n">
        <x:v>0.5850965167066862</x:v>
      </x:c>
      <x:c r="I17" s="168" t="str">
        <x:v>PASS</x:v>
      </x:c>
    </x:row>
    <x:row r="18">
      <x:c r="A18" s="170" t="n">
        <x:v>0.2</x:v>
      </x:c>
      <x:c r="B18" s="170" t="n">
        <x:v>0.3</x:v>
      </x:c>
      <x:c r="C18" s="170" t="n">
        <x:v>0.5</x:v>
      </x:c>
      <x:c r="D18" s="183" t="n">
        <x:v>1000000000000</x:v>
      </x:c>
      <x:c r="E18" s="170" t="n">
        <x:v>0.12743192065225964</x:v>
      </x:c>
      <x:c r="F18" s="183" t="n">
        <x:v>65033255643.425125</x:v>
      </x:c>
      <x:c r="G18" s="183" t="n">
        <x:v>63866744356.574875</x:v>
      </x:c>
      <x:c r="H18" s="170" t="n">
        <x:v>0.5322228696381239</x:v>
      </x:c>
      <x:c r="I18" s="168" t="str">
        <x:v>PASS</x:v>
      </x:c>
    </x:row>
    <x:row r="19">
      <x:c r="A19" s="170" t="n">
        <x:v>0.2</x:v>
      </x:c>
      <x:c r="B19" s="170" t="n">
        <x:v>0.4</x:v>
      </x:c>
      <x:c r="C19" s="170" t="n">
        <x:v>0.4</x:v>
      </x:c>
      <x:c r="D19" s="183" t="n">
        <x:v>1000000000000</x:v>
      </x:c>
      <x:c r="E19" s="170" t="n">
        <x:v>0.1339259915531102</x:v>
      </x:c>
      <x:c r="F19" s="183" t="n">
        <x:v>68478093291.6526</x:v>
      </x:c>
      <x:c r="G19" s="183" t="n">
        <x:v>57521906708.3474</x:v>
      </x:c>
      <x:c r="H19" s="170" t="n">
        <x:v>0.47934922256956164</x:v>
      </x:c>
      <x:c r="I19" s="168" t="str">
        <x:v>BREACH</x:v>
      </x:c>
    </x:row>
    <x:row r="20">
      <x:c r="A20" s="170" t="n">
        <x:v>0.3</x:v>
      </x:c>
      <x:c r="B20" s="170" t="n">
        <x:v>0.1</x:v>
      </x:c>
      <x:c r="C20" s="170" t="n">
        <x:v>0.6</x:v>
      </x:c>
      <x:c r="D20" s="183" t="n">
        <x:v>1000000000000</x:v>
      </x:c>
      <x:c r="E20" s="170" t="n">
        <x:v>0.11896808337486303</x:v>
      </x:c>
      <x:c r="F20" s="183" t="n">
        <x:v>61756687960.07779</x:v>
      </x:c>
      <x:c r="G20" s="183" t="n">
        <x:v>77243312039.92221</x:v>
      </x:c>
      <x:c r="H20" s="170" t="n">
        <x:v>0.6436942669993517</x:v>
      </x:c>
      <x:c r="I20" s="168" t="str">
        <x:v>PASS</x:v>
      </x:c>
    </x:row>
    <x:row r="21">
      <x:c r="A21" s="170" t="n">
        <x:v>0.3</x:v>
      </x:c>
      <x:c r="B21" s="170" t="n">
        <x:v>0.2</x:v>
      </x:c>
      <x:c r="C21" s="170" t="n">
        <x:v>0.5</x:v>
      </x:c>
      <x:c r="D21" s="183" t="n">
        <x:v>1000000000000</x:v>
      </x:c>
      <x:c r="E21" s="170" t="n">
        <x:v>0.12546215427571358</x:v>
      </x:c>
      <x:c r="F21" s="183" t="n">
        <x:v>65201525608.30526</x:v>
      </x:c>
      <x:c r="G21" s="183" t="n">
        <x:v>70898474391.69473</x:v>
      </x:c>
      <x:c r="H21" s="170" t="n">
        <x:v>0.5908206199307895</x:v>
      </x:c>
      <x:c r="I21" s="168" t="str">
        <x:v>PASS</x:v>
      </x:c>
    </x:row>
    <x:row r="22">
      <x:c r="A22" s="170" t="n">
        <x:v>0.3</x:v>
      </x:c>
      <x:c r="B22" s="170" t="n">
        <x:v>0.3</x:v>
      </x:c>
      <x:c r="C22" s="170" t="n">
        <x:v>0.4</x:v>
      </x:c>
      <x:c r="D22" s="183" t="n">
        <x:v>1000000000000</x:v>
      </x:c>
      <x:c r="E22" s="170" t="n">
        <x:v>0.13195622517656413</x:v>
      </x:c>
      <x:c r="F22" s="183" t="n">
        <x:v>68646363256.532745</x:v>
      </x:c>
      <x:c r="G22" s="183" t="n">
        <x:v>64553636743.467255</x:v>
      </x:c>
      <x:c r="H22" s="170" t="n">
        <x:v>0.5379469728622271</x:v>
      </x:c>
      <x:c r="I22" s="168" t="str">
        <x:v>BREACH</x:v>
      </x:c>
    </x:row>
    <x:row r="23">
      <x:c r="A23" s="170" t="n">
        <x:v>0.4</x:v>
      </x:c>
      <x:c r="B23" s="170" t="n">
        <x:v>0.1</x:v>
      </x:c>
      <x:c r="C23" s="170" t="n">
        <x:v>0.5</x:v>
      </x:c>
      <x:c r="D23" s="183" t="n">
        <x:v>1000000000000</x:v>
      </x:c>
      <x:c r="E23" s="170" t="n">
        <x:v>0.12349238789916755</x:v>
      </x:c>
      <x:c r="F23" s="183" t="n">
        <x:v>65369795573.185394</x:v>
      </x:c>
      <x:c r="G23" s="183" t="n">
        <x:v>77930204426.8146</x:v>
      </x:c>
      <x:c r="H23" s="170" t="n">
        <x:v>0.649418370223455</x:v>
      </x:c>
      <x:c r="I23" s="168" t="str">
        <x:v>PASS</x:v>
      </x:c>
    </x:row>
    <x:row r="24">
      <x:c r="A24" s="170" t="n">
        <x:v>0.4</x:v>
      </x:c>
      <x:c r="B24" s="170" t="n">
        <x:v>0.2</x:v>
      </x:c>
      <x:c r="C24" s="170" t="n">
        <x:v>0.4</x:v>
      </x:c>
      <x:c r="D24" s="183" t="n">
        <x:v>1000000000000</x:v>
      </x:c>
      <x:c r="E24" s="170" t="n">
        <x:v>0.12998645880001813</x:v>
      </x:c>
      <x:c r="F24" s="183" t="n">
        <x:v>68814633221.41287</x:v>
      </x:c>
      <x:c r="G24" s="183" t="n">
        <x:v>71585366778.58713</x:v>
      </x:c>
      <x:c r="H24" s="170" t="n">
        <x:v>0.5965447231548927</x:v>
      </x:c>
      <x:c r="I24" s="168" t="str">
        <x:v>PASS</x:v>
      </x:c>
    </x:row>
    <x:row r="25">
      <x:c r="A25" s="186" t="n">
        <x:v>0.5</x:v>
      </x:c>
      <x:c r="B25" s="186" t="n">
        <x:v>0.1</x:v>
      </x:c>
      <x:c r="C25" s="186" t="n">
        <x:v>0.4</x:v>
      </x:c>
      <x:c r="D25" s="184" t="n">
        <x:v>1000000000000</x:v>
      </x:c>
      <x:c r="E25" s="186" t="n">
        <x:v>0.12801669242347208</x:v>
      </x:c>
      <x:c r="F25" s="184" t="n">
        <x:v>68982903186.29301</x:v>
      </x:c>
      <x:c r="G25" s="184" t="n">
        <x:v>78617096813.70699</x:v>
      </x:c>
      <x:c r="H25" s="186" t="n">
        <x:v>0.6551424734475582</x:v>
      </x:c>
      <x:c r="I25" s="169" t="str">
        <x:v>PASS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9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 ht="27" customHeight="1">
      <x:c r="A2" s="154" t="str">
        <x:v>Model Governance and Customer Outcomes</x:v>
      </x:c>
      <x:c r="B2" s="154"/>
      <x:c r="C2" s="154"/>
      <x:c r="D2" s="154"/>
      <x:c r="E2" s="154"/>
      <x:c r="F2" s="154"/>
      <x:c r="G2" s="154"/>
      <x:c r="H2" s="154"/>
      <x:c r="I2" s="154"/>
      <x:c r="J2" s="154"/>
    </x:row>
    <x:row r="3" ht="19" customHeight="1">
      <x:c r="A3" s="89" t="str">
        <x:v>Accountability, validation findings and responsible-lending controls</x:v>
      </x:c>
      <x:c r="B3" s="89"/>
      <x:c r="C3" s="89"/>
      <x:c r="D3" s="89"/>
      <x:c r="E3" s="89"/>
      <x:c r="F3" s="89"/>
      <x:c r="G3" s="89"/>
      <x:c r="H3" s="89"/>
      <x:c r="I3" s="89"/>
      <x:c r="J3" s="89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</x:row>
    <x:row r="6" ht="28" customHeight="1">
      <x:c r="A6" s="221" t="str">
        <x:v>Model ID</x:v>
      </x:c>
      <x:c r="B6" s="221" t="str">
        <x:v>Model</x:v>
      </x:c>
      <x:c r="C6" s="221" t="str">
        <x:v>Materiality</x:v>
      </x:c>
      <x:c r="D6" s="221" t="str">
        <x:v>Owner</x:v>
      </x:c>
      <x:c r="E6" s="221" t="str">
        <x:v>Independent validator</x:v>
      </x:c>
      <x:c r="F6" s="221" t="str">
        <x:v>Status</x:v>
      </x:c>
      <x:c r="G6" s="221" t="str">
        <x:v>Last validation</x:v>
      </x:c>
      <x:c r="H6" s="221" t="str">
        <x:v>Next review</x:v>
      </x:c>
      <x:c r="I6" s="221" t="str">
        <x:v>Findings</x:v>
      </x:c>
      <x:c r="J6" s="221" t="str">
        <x:v>Deployment</x:v>
      </x:c>
    </x:row>
    <x:row r="7">
      <x:c r="A7" s="167" t="str">
        <x:v>BNPL_PD_2.0</x:v>
      </x:c>
      <x:c r="B7" s="167" t="str">
        <x:v>Bnpl application PD</x:v>
      </x:c>
      <x:c r="C7" s="167" t="str">
        <x:v>HIGH</x:v>
      </x:c>
      <x:c r="D7" s="167" t="str">
        <x:v>Head of Credit Risk Modeling</x:v>
      </x:c>
      <x:c r="E7" s="167" t="str">
        <x:v>Model Validation</x:v>
      </x:c>
      <x:c r="F7" s="167" t="str">
        <x:v>PASS</x:v>
      </x:c>
      <x:c r="G7" s="167" t="str">
        <x:v>2026-09-24</x:v>
      </x:c>
      <x:c r="H7" s="167" t="str">
        <x:v>2027-03-31</x:v>
      </x:c>
      <x:c r="I7" s="167" t="n">
        <x:v>0</x:v>
      </x:c>
      <x:c r="J7" s="167" t="str">
        <x:v>SHADOW</x:v>
      </x:c>
    </x:row>
    <x:row r="8">
      <x:c r="A8" s="168" t="str">
        <x:v>BUSINESS_LOAN_PD_2.0</x:v>
      </x:c>
      <x:c r="B8" s="168" t="str">
        <x:v>Business Loan application PD</x:v>
      </x:c>
      <x:c r="C8" s="168" t="str">
        <x:v>HIGH</x:v>
      </x:c>
      <x:c r="D8" s="168" t="str">
        <x:v>Head of Credit Risk Modeling</x:v>
      </x:c>
      <x:c r="E8" s="168" t="str">
        <x:v>Model Validation</x:v>
      </x:c>
      <x:c r="F8" s="168" t="str">
        <x:v>REVIEW</x:v>
      </x:c>
      <x:c r="G8" s="168" t="str">
        <x:v>2026-09-24</x:v>
      </x:c>
      <x:c r="H8" s="168" t="str">
        <x:v>2027-03-31</x:v>
      </x:c>
      <x:c r="I8" s="168" t="n">
        <x:v>1</x:v>
      </x:c>
      <x:c r="J8" s="168" t="str">
        <x:v>SHADOW</x:v>
      </x:c>
    </x:row>
    <x:row r="9">
      <x:c r="A9" s="168" t="str">
        <x:v>CASH_LOAN_PD_2.0</x:v>
      </x:c>
      <x:c r="B9" s="168" t="str">
        <x:v>Cash Loan application PD</x:v>
      </x:c>
      <x:c r="C9" s="168" t="str">
        <x:v>HIGH</x:v>
      </x:c>
      <x:c r="D9" s="168" t="str">
        <x:v>Head of Credit Risk Modeling</x:v>
      </x:c>
      <x:c r="E9" s="168" t="str">
        <x:v>Model Validation</x:v>
      </x:c>
      <x:c r="F9" s="168" t="str">
        <x:v>PASS</x:v>
      </x:c>
      <x:c r="G9" s="168" t="str">
        <x:v>2026-09-24</x:v>
      </x:c>
      <x:c r="H9" s="168" t="str">
        <x:v>2027-03-31</x:v>
      </x:c>
      <x:c r="I9" s="168" t="n">
        <x:v>0</x:v>
      </x:c>
      <x:c r="J9" s="168" t="str">
        <x:v>SHADOW</x:v>
      </x:c>
    </x:row>
    <x:row r="10">
      <x:c r="A10" s="168" t="str">
        <x:v>FRAUD_GRAPH_1.0</x:v>
      </x:c>
      <x:c r="B10" s="168" t="str">
        <x:v>Linked-identity fraud network</x:v>
      </x:c>
      <x:c r="C10" s="168" t="str">
        <x:v>HIGH</x:v>
      </x:c>
      <x:c r="D10" s="168" t="str">
        <x:v>Fraud Risk</x:v>
      </x:c>
      <x:c r="E10" s="168" t="str">
        <x:v>Financial Crime Validation</x:v>
      </x:c>
      <x:c r="F10" s="168" t="str">
        <x:v>PASS</x:v>
      </x:c>
      <x:c r="G10" s="168" t="str">
        <x:v>2026-09-24</x:v>
      </x:c>
      <x:c r="H10" s="168" t="str">
        <x:v>2027-03-31</x:v>
      </x:c>
      <x:c r="I10" s="168" t="n">
        <x:v>1</x:v>
      </x:c>
      <x:c r="J10" s="168" t="str">
        <x:v>CANARY</x:v>
      </x:c>
    </x:row>
    <x:row r="11">
      <x:c r="A11" s="169" t="str">
        <x:v>COLLECTIONS_NBA_1.0</x:v>
      </x:c>
      <x:c r="B11" s="169" t="str">
        <x:v>Collections next-best-action</x:v>
      </x:c>
      <x:c r="C11" s="169" t="str">
        <x:v>MEDIUM</x:v>
      </x:c>
      <x:c r="D11" s="169" t="str">
        <x:v>Collections</x:v>
      </x:c>
      <x:c r="E11" s="169" t="str">
        <x:v>Customer Outcomes</x:v>
      </x:c>
      <x:c r="F11" s="169" t="str">
        <x:v>PASS</x:v>
      </x:c>
      <x:c r="G11" s="169" t="str">
        <x:v>2026-09-24</x:v>
      </x:c>
      <x:c r="H11" s="169" t="str">
        <x:v>2027-09-30</x:v>
      </x:c>
      <x:c r="I11" s="169" t="n">
        <x:v>0</x:v>
      </x:c>
      <x:c r="J11" s="169" t="str">
        <x:v>SHADOW</x:v>
      </x:c>
    </x:row>
    <x:row r="14" ht="28" customHeight="1">
      <x:c r="A14" s="221" t="str">
        <x:v>Customer control</x:v>
      </x:c>
      <x:c r="B14" s="221" t="str">
        <x:v>Value</x:v>
      </x:c>
      <x:c r="C14" s="221" t="str">
        <x:v>Threshold</x:v>
      </x:c>
      <x:c r="D14" s="221" t="str">
        <x:v>Direction</x:v>
      </x:c>
      <x:c r="E14" s="221" t="str">
        <x:v>Status</x:v>
      </x:c>
      <x:c r="F14" s="221" t="str">
        <x:v>Owner</x:v>
      </x:c>
      <x:c r="H14" s="221" t="str">
        <x:v>Finding ID</x:v>
      </x:c>
      <x:c r="I14" s="221" t="str">
        <x:v>Model ID</x:v>
      </x:c>
      <x:c r="J14" s="221" t="str">
        <x:v>Severity</x:v>
      </x:c>
      <x:c r="K14" s="221" t="str">
        <x:v>Finding</x:v>
      </x:c>
      <x:c r="L14" s="221" t="str">
        <x:v>Owner</x:v>
      </x:c>
      <x:c r="M14" s="221" t="str">
        <x:v>Due date</x:v>
      </x:c>
      <x:c r="N14" s="221" t="str">
        <x:v>Status</x:v>
      </x:c>
    </x:row>
    <x:row r="15">
      <x:c r="A15" s="167" t="str">
        <x:v>Affordability pass rate</x:v>
      </x:c>
      <x:c r="B15" s="185" t="n">
        <x:v>0.95875</x:v>
      </x:c>
      <x:c r="C15" s="185" t="n">
        <x:v>0.85</x:v>
      </x:c>
      <x:c r="D15" s="167" t="str">
        <x:v>MIN</x:v>
      </x:c>
      <x:c r="E15" s="167" t="str">
        <x:v>PASS</x:v>
      </x:c>
      <x:c r="F15" s="167" t="str">
        <x:v>Credit Policy</x:v>
      </x:c>
      <x:c r="H15" s="167" t="str">
        <x:v>V9-F01</x:v>
      </x:c>
      <x:c r="I15" s="167" t="str">
        <x:v>FRAUD_GRAPH_1.0</x:v>
      </x:c>
      <x:c r="J15" s="167" t="str">
        <x:v>MEDIUM</x:v>
      </x:c>
      <x:c r="K15" s="167" t="str">
        <x:v>Validate linked-device false-positive rate on confirmed outcomes</x:v>
      </x:c>
      <x:c r="L15" s="167" t="str">
        <x:v>Fraud Analytics</x:v>
      </x:c>
      <x:c r="M15" s="167" t="str">
        <x:v>2026-12-15</x:v>
      </x:c>
      <x:c r="N15" s="167" t="str">
        <x:v>OPEN</x:v>
      </x:c>
    </x:row>
    <x:row r="16">
      <x:c r="A16" s="168" t="str">
        <x:v>High debt-burden approval rate</x:v>
      </x:c>
      <x:c r="B16" s="170" t="n">
        <x:v>0.4180790960451977</x:v>
      </x:c>
      <x:c r="C16" s="170" t="n">
        <x:v>0.45</x:v>
      </x:c>
      <x:c r="D16" s="168" t="str">
        <x:v>MAX</x:v>
      </x:c>
      <x:c r="E16" s="168" t="str">
        <x:v>PASS</x:v>
      </x:c>
      <x:c r="F16" s="168" t="str">
        <x:v>Responsible Lending</x:v>
      </x:c>
      <x:c r="H16" s="168" t="str">
        <x:v>V9-F02</x:v>
      </x:c>
      <x:c r="I16" s="168" t="str">
        <x:v>BUSINESS_LOAN_PD_2.0</x:v>
      </x:c>
      <x:c r="J16" s="168" t="str">
        <x:v>MEDIUM</x:v>
      </x:c>
      <x:c r="K16" s="168" t="str">
        <x:v>Expand sales-data history before production calibration</x:v>
      </x:c>
      <x:c r="L16" s="168" t="str">
        <x:v>Business Credit</x:v>
      </x:c>
      <x:c r="M16" s="168" t="str">
        <x:v>2027-01-31</x:v>
      </x:c>
      <x:c r="N16" s="168" t="str">
        <x:v>OPEN</x:v>
      </x:c>
    </x:row>
    <x:row r="17">
      <x:c r="A17" s="168" t="str">
        <x:v>Complaint proxy rate</x:v>
      </x:c>
      <x:c r="B17" s="170" t="n">
        <x:v>0.08916666666666667</x:v>
      </x:c>
      <x:c r="C17" s="170" t="n">
        <x:v>0.05</x:v>
      </x:c>
      <x:c r="D17" s="168" t="str">
        <x:v>MAX</x:v>
      </x:c>
      <x:c r="E17" s="168" t="str">
        <x:v>REVIEW</x:v>
      </x:c>
      <x:c r="F17" s="168" t="str">
        <x:v>Customer Experience</x:v>
      </x:c>
      <x:c r="H17" s="169" t="str">
        <x:v>V9-F03</x:v>
      </x:c>
      <x:c r="I17" s="169" t="str">
        <x:v>ALL_PRODUCT_PD</x:v>
      </x:c>
      <x:c r="J17" s="169" t="str">
        <x:v>LOW</x:v>
      </x:c>
      <x:c r="K17" s="169" t="str">
        <x:v>Complete quarterly reason-code stability review</x:v>
      </x:c>
      <x:c r="L17" s="169" t="str">
        <x:v>Model Monitoring</x:v>
      </x:c>
      <x:c r="M17" s="169" t="str">
        <x:v>2026-12-31</x:v>
      </x:c>
      <x:c r="N17" s="169" t="str">
        <x:v>IN PROGRESS</x:v>
      </x:c>
    </x:row>
    <x:row r="18">
      <x:c r="A18" s="168" t="str">
        <x:v>Hardship proxy rate</x:v>
      </x:c>
      <x:c r="B18" s="170" t="n">
        <x:v>0.0016666666666666668</x:v>
      </x:c>
      <x:c r="C18" s="170" t="n">
        <x:v>0.03</x:v>
      </x:c>
      <x:c r="D18" s="168" t="str">
        <x:v>MAX</x:v>
      </x:c>
      <x:c r="E18" s="168" t="str">
        <x:v>PASS</x:v>
      </x:c>
      <x:c r="F18" s="168" t="str">
        <x:v>Collections</x:v>
      </x:c>
    </x:row>
    <x:row r="19">
      <x:c r="A19" s="169" t="str">
        <x:v>Payment-pending contact suppression</x:v>
      </x:c>
      <x:c r="B19" s="186" t="n">
        <x:v>1</x:v>
      </x:c>
      <x:c r="C19" s="186" t="n">
        <x:v>1</x:v>
      </x:c>
      <x:c r="D19" s="169" t="str">
        <x:v>MIN</x:v>
      </x:c>
      <x:c r="E19" s="169" t="str">
        <x:v>PASS</x:v>
      </x:c>
      <x:c r="F19" s="169" t="str">
        <x:v>Operations</x:v>
      </x:c>
    </x:row>
  </x:sheetData>
  <x:mergeCells>
    <x:mergeCell ref="A2:J2"/>
    <x:mergeCell ref="A3:J3"/>
  </x:mergeCells>
  <x:pageMargins left="0.7" right="0.7" top="0.75" bottom="0.75" header="0.3" footer="0.3"/>
</x:worksheet>
</file>