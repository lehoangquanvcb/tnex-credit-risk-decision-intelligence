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ba5514f812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Summary" sheetId="1" r:id="R9770b78647494abf"/>
    <x:sheet xmlns:r="http://schemas.openxmlformats.org/officeDocument/2006/relationships" name="Model Comparison" sheetId="2" r:id="Rff172c1da0274c3b"/>
    <x:sheet xmlns:r="http://schemas.openxmlformats.org/officeDocument/2006/relationships" name="Calibration" sheetId="3" r:id="R5f9f857147234764"/>
    <x:sheet xmlns:r="http://schemas.openxmlformats.org/officeDocument/2006/relationships" name="WOE Scorecard" sheetId="4" r:id="Rd0ee0784df574d80"/>
    <x:sheet xmlns:r="http://schemas.openxmlformats.org/officeDocument/2006/relationships" name="Reject Inference" sheetId="5" r:id="R00ebedb2cf484692"/>
    <x:sheet xmlns:r="http://schemas.openxmlformats.org/officeDocument/2006/relationships" name="Fairness" sheetId="6" r:id="R83f5ee7261a246b7"/>
    <x:sheet xmlns:r="http://schemas.openxmlformats.org/officeDocument/2006/relationships" name="Cut-off Strategy" sheetId="7" r:id="Rcc4ecf211db64bac"/>
    <x:sheet xmlns:r="http://schemas.openxmlformats.org/officeDocument/2006/relationships" name="Monitoring" sheetId="8" r:id="Ra79bcecdb42247bf"/>
    <x:sheet xmlns:r="http://schemas.openxmlformats.org/officeDocument/2006/relationships" name="Behavioural EWS" sheetId="9" r:id="R5d98f99451c64fb0"/>
    <x:sheet xmlns:r="http://schemas.openxmlformats.org/officeDocument/2006/relationships" name="Governance" sheetId="10" r:id="Raf51a482945944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%"/>
    <x:numFmt numFmtId="201" formatCode="0.000"/>
    <x:numFmt numFmtId="202" formatCode="#,##0"/>
    <x:numFmt numFmtId="203" formatCode="0"/>
    <x:numFmt numFmtId="204" formatCode="0.0"/>
    <x:numFmt numFmtId="205" formatCode="0.00"/>
    <x:numFmt numFmtId="206" formatCode="0%"/>
    <x:numFmt numFmtId="207" formatCode="0.0%"/>
  </x:numFmts>
  <x:fonts count="6">
    <x:font>
      <x:sz val="11"/>
      <x:name val="Carlito"/>
    </x:font>
    <x:font>
      <x:b/>
      <x:sz val="15"/>
      <x:color rgb="FF123554"/>
      <x:name val="Arial"/>
    </x:font>
    <x:font>
      <x:i/>
      <x:sz val="9"/>
      <x:color rgb="FF55555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554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0" fontId="5" fillId="2" borderId="0" xfId="0" applyNumberFormat="1" applyFont="1" applyFill="1" applyBorder="1"/>
    <x:xf numFmtId="201" fontId="4" fillId="0" borderId="2" xfId="0" applyNumberFormat="1" applyFont="1" applyFill="1" applyBorder="1"/>
    <x:xf numFmtId="201" fontId="4" fillId="0" borderId="3" xfId="0" applyNumberFormat="1" applyFont="1" applyFill="1" applyBorder="1"/>
    <x:xf numFmtId="202" fontId="4" fillId="0" borderId="2" xfId="0" applyNumberFormat="1" applyFont="1" applyFill="1" applyBorder="1"/>
    <x:xf numFmtId="202" fontId="4" fillId="0" borderId="3" xfId="0" applyNumberFormat="1" applyFont="1" applyFill="1" applyBorder="1"/>
    <x:xf numFmtId="203" fontId="4" fillId="0" borderId="2" xfId="0" applyNumberFormat="1" applyFont="1" applyFill="1" applyBorder="1"/>
    <x:xf numFmtId="203" fontId="4" fillId="0" borderId="3" xfId="0" applyNumberFormat="1" applyFont="1" applyFill="1" applyBorder="1"/>
    <x:xf numFmtId="204" fontId="4" fillId="0" borderId="2" xfId="0" applyNumberFormat="1" applyFont="1" applyFill="1" applyBorder="1"/>
    <x:xf numFmtId="204" fontId="4" fillId="0" borderId="3" xfId="0" applyNumberFormat="1" applyFont="1" applyFill="1" applyBorder="1"/>
    <x:xf numFmtId="205" fontId="4" fillId="0" borderId="2" xfId="0" applyNumberFormat="1" applyFont="1" applyFill="1" applyBorder="1"/>
    <x:xf numFmtId="205" fontId="4" fillId="0" borderId="3" xfId="0" applyNumberFormat="1" applyFont="1" applyFill="1" applyBorder="1"/>
    <x:xf numFmtId="206" fontId="4" fillId="0" borderId="2" xfId="0" applyNumberFormat="1" applyFont="1" applyFill="1" applyBorder="1"/>
    <x:xf numFmtId="206" fontId="4" fillId="0" borderId="3" xfId="0" applyNumberFormat="1" applyFont="1" applyFill="1" applyBorder="1"/>
    <x:xf numFmtId="207" fontId="4" fillId="0" borderId="2" xfId="0" applyNumberFormat="1" applyFont="1" applyFill="1" applyBorder="1"/>
    <x:xf numFmtId="207" fontId="4" fillId="0" borderId="3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207" fontId="4" fillId="0" borderId="2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7" fontId="4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66534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615a866394527" /><Relationship Type="http://schemas.openxmlformats.org/officeDocument/2006/relationships/theme" Target="/xl/theme/theme1.xml" Id="Rb5d0f92b86b14fe1" /><Relationship Type="http://schemas.openxmlformats.org/officeDocument/2006/relationships/sharedStrings" Target="/xl/sharedStrings.xml" Id="R48f0acd12da44a80" /><Relationship Type="http://schemas.openxmlformats.org/officeDocument/2006/relationships/worksheet" Target="/xl/worksheets/sheet1.xml" Id="R9770b78647494abf" /><Relationship Type="http://schemas.openxmlformats.org/officeDocument/2006/relationships/worksheet" Target="/xl/worksheets/sheet2.xml" Id="Rff172c1da0274c3b" /><Relationship Type="http://schemas.openxmlformats.org/officeDocument/2006/relationships/worksheet" Target="/xl/worksheets/sheet3.xml" Id="R5f9f857147234764" /><Relationship Type="http://schemas.openxmlformats.org/officeDocument/2006/relationships/worksheet" Target="/xl/worksheets/sheet4.xml" Id="Rd0ee0784df574d80" /><Relationship Type="http://schemas.openxmlformats.org/officeDocument/2006/relationships/worksheet" Target="/xl/worksheets/sheet5.xml" Id="R00ebedb2cf484692" /><Relationship Type="http://schemas.openxmlformats.org/officeDocument/2006/relationships/worksheet" Target="/xl/worksheets/sheet6.xml" Id="R83f5ee7261a246b7" /><Relationship Type="http://schemas.openxmlformats.org/officeDocument/2006/relationships/worksheet" Target="/xl/worksheets/sheet7.xml" Id="Rcc4ecf211db64bac" /><Relationship Type="http://schemas.openxmlformats.org/officeDocument/2006/relationships/worksheet" Target="/xl/worksheets/sheet8.xml" Id="Ra79bcecdb42247bf" /><Relationship Type="http://schemas.openxmlformats.org/officeDocument/2006/relationships/worksheet" Target="/xl/worksheets/sheet9.xml" Id="R5d98f99451c64fb0" /><Relationship Type="http://schemas.openxmlformats.org/officeDocument/2006/relationships/worksheet" Target="/xl/worksheets/sheet10.xml" Id="Raf51a482945944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3719cad23b44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Predicted vs observed default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Observed bad rate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'Calibration'!$C$7:$C$16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Predicted PD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'Calibration'!$D$7:$D$16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3719cad23b44a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f42adac54374a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4" max="4" width="22" hidden="0" customWidth="1"/>
    <x:col min="5" max="5" width="14" hidden="0" customWidth="1"/>
    <x:col min="6" max="6" width="14" hidden="0" customWidth="1"/>
  </x:cols>
  <x:sheetData>
    <x:row r="2">
      <x:c r="A2" s="29" t="str">
        <x:v>Retail Credit Model Validation</x:v>
      </x:c>
      <x:c r="B2" s="30"/>
      <x:c r="C2" s="30"/>
      <x:c r="D2" s="30"/>
      <x:c r="E2" s="30"/>
      <x:c r="F2" s="30"/>
    </x:row>
    <x:row r="3">
      <x:c r="A3" s="31" t="str">
        <x:v>RCS_PD_3.0 | WOE logistic application scorecard | synthetic portfolio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Metric</x:v>
      </x:c>
      <x:c r="B6" s="9" t="str">
        <x:v>Result</x:v>
      </x:c>
      <x:c r="C6" s="30"/>
      <x:c r="D6" s="33" t="str">
        <x:v>Test</x:v>
      </x:c>
      <x:c r="E6" s="33" t="str">
        <x:v>Threshold</x:v>
      </x:c>
      <x:c r="F6" s="33" t="str">
        <x:v>Assessment</x:v>
      </x:c>
    </x:row>
    <x:row r="7">
      <x:c r="A7" s="34" t="str">
        <x:v>Validation status</x:v>
      </x:c>
      <x:c r="B7" s="35" t="str">
        <x:v>PASS</x:v>
      </x:c>
      <x:c r="C7" s="30"/>
      <x:c r="D7" s="30" t="str">
        <x:v>AUC</x:v>
      </x:c>
      <x:c r="E7" s="30" t="n">
        <x:v>0.65</x:v>
      </x:c>
      <x:c r="F7" s="30" t="str">
        <x:f>IF(B8&gt;=E7,"PASS","FAIL")</x:f>
        <x:v>PASS</x:v>
      </x:c>
    </x:row>
    <x:row r="8">
      <x:c r="A8" s="34" t="str">
        <x:v>Holdout AUC</x:v>
      </x:c>
      <x:c r="B8" s="35" t="n">
        <x:v>0.6726936687977345</x:v>
      </x:c>
      <x:c r="C8" s="30"/>
      <x:c r="D8" s="30" t="str">
        <x:v>KS</x:v>
      </x:c>
      <x:c r="E8" s="30" t="n">
        <x:v>0.25</x:v>
      </x:c>
      <x:c r="F8" s="30" t="str">
        <x:f>IF(B10&gt;=E8,"PASS","FAIL")</x:f>
        <x:v>PASS</x:v>
      </x:c>
    </x:row>
    <x:row r="9">
      <x:c r="A9" s="34" t="str">
        <x:v>Holdout Gini</x:v>
      </x:c>
      <x:c r="B9" s="35" t="n">
        <x:v>0.345387337595469</x:v>
      </x:c>
      <x:c r="C9" s="30"/>
      <x:c r="D9" s="30" t="str">
        <x:v>Brier</x:v>
      </x:c>
      <x:c r="E9" s="30" t="n">
        <x:v>0.15</x:v>
      </x:c>
      <x:c r="F9" s="30" t="str">
        <x:f>IF(B11&lt;E9,"PASS","FAIL")</x:f>
        <x:v>PASS</x:v>
      </x:c>
    </x:row>
    <x:row r="10">
      <x:c r="A10" s="34" t="str">
        <x:v>Holdout KS</x:v>
      </x:c>
      <x:c r="B10" s="35" t="n">
        <x:v>0.25397511656882465</x:v>
      </x:c>
      <x:c r="C10" s="30"/>
      <x:c r="D10" s="30" t="str">
        <x:v>Calibration gap</x:v>
      </x:c>
      <x:c r="E10" s="30" t="n">
        <x:v>0.03</x:v>
      </x:c>
      <x:c r="F10" s="30" t="str">
        <x:f>IF(B14&lt;E10,"PASS","FAIL")</x:f>
        <x:v>PASS</x:v>
      </x:c>
    </x:row>
    <x:row r="11">
      <x:c r="A11" s="34" t="str">
        <x:v>Brier score</x:v>
      </x:c>
      <x:c r="B11" s="35" t="n">
        <x:v>0.11065591177023448</x:v>
      </x:c>
      <x:c r="C11" s="30"/>
      <x:c r="D11" s="30"/>
      <x:c r="E11" s="30"/>
      <x:c r="F11" s="30"/>
    </x:row>
    <x:row r="12">
      <x:c r="A12" s="34" t="str">
        <x:v>Observed bad rate</x:v>
      </x:c>
      <x:c r="B12" s="35" t="n">
        <x:v>0.13425</x:v>
      </x:c>
      <x:c r="C12" s="30"/>
      <x:c r="D12" s="30"/>
      <x:c r="E12" s="30"/>
      <x:c r="F12" s="30"/>
    </x:row>
    <x:row r="13">
      <x:c r="A13" s="34" t="str">
        <x:v>Mean PD</x:v>
      </x:c>
      <x:c r="B13" s="35" t="n">
        <x:v>0.13325037417831714</x:v>
      </x:c>
      <x:c r="C13" s="30"/>
      <x:c r="D13" s="30"/>
      <x:c r="E13" s="30"/>
      <x:c r="F13" s="30"/>
    </x:row>
    <x:row r="14">
      <x:c r="A14" s="36" t="str">
        <x:v>Calibration gap</x:v>
      </x:c>
      <x:c r="B14" s="37" t="n">
        <x:v>0.0009996258216828646</x:v>
      </x:c>
      <x:c r="C14" s="30"/>
      <x:c r="D14" s="30"/>
      <x:c r="E14" s="30"/>
      <x:c r="F14" s="30"/>
    </x:row>
  </x:sheetData>
  <x:mergeCells>
    <x:mergeCell ref="A2:F2"/>
    <x:mergeCell ref="A3:F3"/>
  </x:mergeCells>
  <x:conditionalFormatting sqref="F7:F10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8.329999923706055" hidden="0" customWidth="1"/>
    <x:col min="6" max="6" width="22.440000534057617" hidden="0" customWidth="1"/>
  </x:cols>
  <x:sheetData>
    <x:row r="2">
      <x:c r="A2" s="29" t="str">
        <x:v>Model Comparison</x:v>
      </x:c>
      <x:c r="B2" s="30"/>
      <x:c r="C2" s="30"/>
      <x:c r="D2" s="30"/>
      <x:c r="E2" s="30"/>
      <x:c r="F2" s="30"/>
    </x:row>
    <x:row r="3">
      <x:c r="A3" s="31" t="str">
        <x:v>Performance, calibration and explainability trade-offs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Model</x:v>
      </x:c>
      <x:c r="B6" s="9" t="str">
        <x:v>AUC</x:v>
      </x:c>
      <x:c r="C6" s="9" t="str">
        <x:v>Gini</x:v>
      </x:c>
      <x:c r="D6" s="9" t="str">
        <x:v>KS</x:v>
      </x:c>
      <x:c r="E6" s="9" t="str">
        <x:v>Brier score</x:v>
      </x:c>
      <x:c r="F6" s="9" t="str">
        <x:v>Role</x:v>
      </x:c>
    </x:row>
    <x:row r="7">
      <x:c r="A7" s="34" t="str">
        <x:v>Raw logistic</x:v>
      </x:c>
      <x:c r="B7" s="38" t="n">
        <x:v>0.6919700736328874</x:v>
      </x:c>
      <x:c r="C7" s="38" t="n">
        <x:v>0.38394014726577486</x:v>
      </x:c>
      <x:c r="D7" s="38" t="n">
        <x:v>0.30075106297969867</x:v>
      </x:c>
      <x:c r="E7" s="38" t="n">
        <x:v>0.2252653782719101</x:v>
      </x:c>
      <x:c r="F7" s="34" t="str">
        <x:v>Challenger</x:v>
      </x:c>
    </x:row>
    <x:row r="8">
      <x:c r="A8" s="34" t="str">
        <x:v>Calibrated logistic (champion)</x:v>
      </x:c>
      <x:c r="B8" s="38" t="n">
        <x:v>0.6918657518615251</x:v>
      </x:c>
      <x:c r="C8" s="38" t="n">
        <x:v>0.3837315037230502</x:v>
      </x:c>
      <x:c r="D8" s="38" t="n">
        <x:v>0.29971429815915096</x:v>
      </x:c>
      <x:c r="E8" s="38" t="n">
        <x:v>0.10876496899861064</x:v>
      </x:c>
      <x:c r="F8" s="34" t="str">
        <x:v>Performance benchmark</x:v>
      </x:c>
    </x:row>
    <x:row r="9">
      <x:c r="A9" s="34" t="str">
        <x:v>Random forest challenger</x:v>
      </x:c>
      <x:c r="B9" s="38" t="n">
        <x:v>0.6865050109403426</x:v>
      </x:c>
      <x:c r="C9" s="38" t="n">
        <x:v>0.3730100218806851</x:v>
      </x:c>
      <x:c r="D9" s="38" t="n">
        <x:v>0.28540554550875946</x:v>
      </x:c>
      <x:c r="E9" s="38" t="n">
        <x:v>0.1988525857821733</x:v>
      </x:c>
      <x:c r="F9" s="34" t="str">
        <x:v>Challenger</x:v>
      </x:c>
    </x:row>
    <x:row r="10">
      <x:c r="A10" s="36" t="str">
        <x:v>WOE logistic scorecard (V3)</x:v>
      </x:c>
      <x:c r="B10" s="39" t="n">
        <x:v>0.6726936687977345</x:v>
      </x:c>
      <x:c r="C10" s="39" t="n">
        <x:v>0.345387337595469</x:v>
      </x:c>
      <x:c r="D10" s="39" t="n">
        <x:v>0.25397511656882465</x:v>
      </x:c>
      <x:c r="E10" s="39" t="n">
        <x:v>0.11065591177023448</x:v>
      </x:c>
      <x:c r="F10" s="36" t="str">
        <x:v>Production explainable scorecard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9.329999923706055" hidden="0" customWidth="1"/>
    <x:col min="3" max="3" width="13.5600004196167" hidden="0" customWidth="1"/>
    <x:col min="4" max="4" width="9.670000076293945" hidden="0" customWidth="1"/>
    <x:col min="5" max="5" width="10.670000076293945" hidden="0" customWidth="1"/>
  </x:cols>
  <x:sheetData>
    <x:row r="2">
      <x:c r="A2" s="29" t="str">
        <x:v>Calibration by Risk Decile</x:v>
      </x:c>
      <x:c r="B2" s="30"/>
      <x:c r="C2" s="30"/>
      <x:c r="D2" s="30"/>
      <x:c r="E2" s="30"/>
    </x:row>
    <x:row r="3">
      <x:c r="A3" s="31" t="str">
        <x:v>Predicted PD compared with observed default rate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Risk band</x:v>
      </x:c>
      <x:c r="B6" s="9" t="str">
        <x:v>Applications</x:v>
      </x:c>
      <x:c r="C6" s="9" t="str">
        <x:v>Observed bad rate</x:v>
      </x:c>
      <x:c r="D6" s="9" t="str">
        <x:v>Predicted PD</x:v>
      </x:c>
      <x:c r="E6" s="9" t="str">
        <x:v>Average score</x:v>
      </x:c>
    </x:row>
    <x:row r="7">
      <x:c r="A7" s="34" t="str">
        <x:v>(0.006979999999999999, 0.0486]</x:v>
      </x:c>
      <x:c r="B7" s="40" t="n">
        <x:v>400</x:v>
      </x:c>
      <x:c r="C7" s="35" t="n">
        <x:v>0.04</x:v>
      </x:c>
      <x:c r="D7" s="35" t="n">
        <x:v>0.03680268917701524</x:v>
      </x:c>
      <x:c r="E7" s="41" t="n">
        <x:v>622.185</x:v>
      </x:c>
    </x:row>
    <x:row r="8">
      <x:c r="A8" s="34" t="str">
        <x:v>(0.0486, 0.0664]</x:v>
      </x:c>
      <x:c r="B8" s="40" t="n">
        <x:v>400</x:v>
      </x:c>
      <x:c r="C8" s="35" t="n">
        <x:v>0.0625</x:v>
      </x:c>
      <x:c r="D8" s="35" t="n">
        <x:v>0.05787485968187445</x:v>
      </x:c>
      <x:c r="E8" s="41" t="n">
        <x:v>585.435</x:v>
      </x:c>
    </x:row>
    <x:row r="9">
      <x:c r="A9" s="34" t="str">
        <x:v>(0.0664, 0.0803]</x:v>
      </x:c>
      <x:c r="B9" s="40" t="n">
        <x:v>400</x:v>
      </x:c>
      <x:c r="C9" s="35" t="n">
        <x:v>0.06</x:v>
      </x:c>
      <x:c r="D9" s="35" t="n">
        <x:v>0.07327222739011949</x:v>
      </x:c>
      <x:c r="E9" s="41" t="n">
        <x:v>567.055</x:v>
      </x:c>
    </x:row>
    <x:row r="10">
      <x:c r="A10" s="34" t="str">
        <x:v>(0.0803, 0.0958]</x:v>
      </x:c>
      <x:c r="B10" s="40" t="n">
        <x:v>400</x:v>
      </x:c>
      <x:c r="C10" s="35" t="n">
        <x:v>0.0875</x:v>
      </x:c>
      <x:c r="D10" s="35" t="n">
        <x:v>0.08777972274164864</x:v>
      </x:c>
      <x:c r="E10" s="41" t="n">
        <x:v>552.8475</x:v>
      </x:c>
    </x:row>
    <x:row r="11">
      <x:c r="A11" s="34" t="str">
        <x:v>(0.0958, 0.113]</x:v>
      </x:c>
      <x:c r="B11" s="40" t="n">
        <x:v>400</x:v>
      </x:c>
      <x:c r="C11" s="35" t="n">
        <x:v>0.1</x:v>
      </x:c>
      <x:c r="D11" s="35" t="n">
        <x:v>0.10409908773607932</x:v>
      </x:c>
      <x:c r="E11" s="41" t="n">
        <x:v>539.2375</x:v>
      </x:c>
    </x:row>
    <x:row r="12">
      <x:c r="A12" s="34" t="str">
        <x:v>(0.113, 0.132]</x:v>
      </x:c>
      <x:c r="B12" s="40" t="n">
        <x:v>400</x:v>
      </x:c>
      <x:c r="C12" s="35" t="n">
        <x:v>0.1175</x:v>
      </x:c>
      <x:c r="D12" s="35" t="n">
        <x:v>0.12158463252129591</x:v>
      </x:c>
      <x:c r="E12" s="41" t="n">
        <x:v>526.6275</x:v>
      </x:c>
    </x:row>
    <x:row r="13">
      <x:c r="A13" s="34" t="str">
        <x:v>(0.132, 0.158]</x:v>
      </x:c>
      <x:c r="B13" s="40" t="n">
        <x:v>400</x:v>
      </x:c>
      <x:c r="C13" s="35" t="n">
        <x:v>0.175</x:v>
      </x:c>
      <x:c r="D13" s="35" t="n">
        <x:v>0.14410932091425016</x:v>
      </x:c>
      <x:c r="E13" s="41" t="n">
        <x:v>512.495</x:v>
      </x:c>
    </x:row>
    <x:row r="14">
      <x:c r="A14" s="34" t="str">
        <x:v>(0.158, 0.187]</x:v>
      </x:c>
      <x:c r="B14" s="40" t="n">
        <x:v>400</x:v>
      </x:c>
      <x:c r="C14" s="35" t="n">
        <x:v>0.19</x:v>
      </x:c>
      <x:c r="D14" s="35" t="n">
        <x:v>0.17145485048592754</x:v>
      </x:c>
      <x:c r="E14" s="41" t="n">
        <x:v>497.6075</x:v>
      </x:c>
    </x:row>
    <x:row r="15">
      <x:c r="A15" s="34" t="str">
        <x:v>(0.187, 0.241]</x:v>
      </x:c>
      <x:c r="B15" s="40" t="n">
        <x:v>400</x:v>
      </x:c>
      <x:c r="C15" s="35" t="n">
        <x:v>0.165</x:v>
      </x:c>
      <x:c r="D15" s="35" t="n">
        <x:v>0.2109265378552613</x:v>
      </x:c>
      <x:c r="E15" s="41" t="n">
        <x:v>479.265</x:v>
      </x:c>
    </x:row>
    <x:row r="16">
      <x:c r="A16" s="36" t="str">
        <x:v>(0.241, 0.86]</x:v>
      </x:c>
      <x:c r="B16" s="42" t="n">
        <x:v>400</x:v>
      </x:c>
      <x:c r="C16" s="37" t="n">
        <x:v>0.345</x:v>
      </x:c>
      <x:c r="D16" s="37" t="n">
        <x:v>0.3264968074929338</x:v>
      </x:c>
      <x:c r="E16" s="43" t="n">
        <x:v>437.4425</x:v>
      </x:c>
    </x:row>
  </x:sheetData>
  <x:mergeCells>
    <x:mergeCell ref="A2:E2"/>
    <x:mergeCell ref="A3:E3"/>
  </x:mergeCells>
  <x:pageMargins left="0.7" right="0.7" top="0.75" bottom="0.75" header="0.3" footer="0.3"/>
  <x:drawing xmlns:r="http://schemas.openxmlformats.org/officeDocument/2006/relationships" r:id="Rbf42adac54374afc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220000267028809" hidden="0" customWidth="1"/>
    <x:col min="2" max="2" width="17.889999389648438" hidden="0" customWidth="1"/>
    <x:col min="3" max="3" width="4.670000076293945" hidden="0" customWidth="1"/>
    <x:col min="4" max="4" width="7.670000076293945" hidden="0" customWidth="1"/>
    <x:col min="5" max="5" width="8.109999656677246" hidden="0" customWidth="1"/>
    <x:col min="6" max="6" width="9.4399995803833" hidden="0" customWidth="1"/>
  </x:cols>
  <x:sheetData>
    <x:row r="2">
      <x:c r="A2" s="29" t="str">
        <x:v>WOE Production Scorecard</x:v>
      </x:c>
      <x:c r="B2" s="30"/>
      <x:c r="C2" s="30"/>
      <x:c r="D2" s="30"/>
      <x:c r="E2" s="30"/>
      <x:c r="F2" s="30"/>
    </x:row>
    <x:row r="3">
      <x:c r="A3" s="31" t="str">
        <x:v>Bin-level WOE, logistic coefficient and score-point contribution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Feature</x:v>
      </x:c>
      <x:c r="B6" s="9" t="str">
        <x:v>Bin</x:v>
      </x:c>
      <x:c r="C6" s="9" t="str">
        <x:v>WOE</x:v>
      </x:c>
      <x:c r="D6" s="9" t="str">
        <x:v>Feature IV</x:v>
      </x:c>
      <x:c r="E6" s="9" t="str">
        <x:v>Coefficient</x:v>
      </x:c>
      <x:c r="F6" s="9" t="str">
        <x:v>Score points</x:v>
      </x:c>
    </x:row>
    <x:row r="7">
      <x:c r="A7" s="34" t="str">
        <x:v>age</x:v>
      </x:c>
      <x:c r="B7" s="34" t="str">
        <x:v>(-inf, 27.0]</x:v>
      </x:c>
      <x:c r="C7" s="38" t="n">
        <x:v>-0.055535402382735945</x:v>
      </x:c>
      <x:c r="D7" s="38" t="n">
        <x:v>0.0022527448625785655</x:v>
      </x:c>
      <x:c r="E7" s="38" t="n">
        <x:v>-0.5905586530991209</x:v>
      </x:c>
      <x:c r="F7" s="44" t="n">
        <x:v>-2.365797145995163</x:v>
      </x:c>
    </x:row>
    <x:row r="8">
      <x:c r="A8" s="34" t="str">
        <x:v>age</x:v>
      </x:c>
      <x:c r="B8" s="34" t="str">
        <x:v>(27.0, 33.0]</x:v>
      </x:c>
      <x:c r="C8" s="38" t="n">
        <x:v>-0.030710626874586294</x:v>
      </x:c>
      <x:c r="D8" s="38" t="n">
        <x:v>0.0022527448625785655</x:v>
      </x:c>
      <x:c r="E8" s="38" t="n">
        <x:v>-0.5905586530991209</x:v>
      </x:c>
      <x:c r="F8" s="44" t="n">
        <x:v>-1.308266624429908</x:v>
      </x:c>
    </x:row>
    <x:row r="9">
      <x:c r="A9" s="34" t="str">
        <x:v>age</x:v>
      </x:c>
      <x:c r="B9" s="34" t="str">
        <x:v>(33.0, 37.0]</x:v>
      </x:c>
      <x:c r="C9" s="38" t="n">
        <x:v>0.04238185144952178</x:v>
      </x:c>
      <x:c r="D9" s="38" t="n">
        <x:v>0.0022527448625785655</x:v>
      </x:c>
      <x:c r="E9" s="38" t="n">
        <x:v>-0.5905586530991209</x:v>
      </x:c>
      <x:c r="F9" s="44" t="n">
        <x:v>1.8054584805248326</x:v>
      </x:c>
    </x:row>
    <x:row r="10">
      <x:c r="A10" s="34" t="str">
        <x:v>age</x:v>
      </x:c>
      <x:c r="B10" s="34" t="str">
        <x:v>(37.0, 42.0]</x:v>
      </x:c>
      <x:c r="C10" s="38" t="n">
        <x:v>0.07528749147900808</x:v>
      </x:c>
      <x:c r="D10" s="38" t="n">
        <x:v>0.0022527448625785655</x:v>
      </x:c>
      <x:c r="E10" s="38" t="n">
        <x:v>-0.5905586530991209</x:v>
      </x:c>
      <x:c r="F10" s="44" t="n">
        <x:v>3.2072322307606496</x:v>
      </x:c>
    </x:row>
    <x:row r="11">
      <x:c r="A11" s="34" t="str">
        <x:v>age</x:v>
      </x:c>
      <x:c r="B11" s="34" t="str">
        <x:v>(42.0, inf]</x:v>
      </x:c>
      <x:c r="C11" s="38" t="n">
        <x:v>-0.012881522547091252</x:v>
      </x:c>
      <x:c r="D11" s="38" t="n">
        <x:v>0.0022527448625785655</x:v>
      </x:c>
      <x:c r="E11" s="38" t="n">
        <x:v>-0.5905586530991209</x:v>
      </x:c>
      <x:c r="F11" s="44" t="n">
        <x:v>-0.5487503100806647</x:v>
      </x:c>
    </x:row>
    <x:row r="12">
      <x:c r="A12" s="34" t="str">
        <x:v>monthly_income</x:v>
      </x:c>
      <x:c r="B12" s="34" t="str">
        <x:v>(-inf, 11509552.0]</x:v>
      </x:c>
      <x:c r="C12" s="38" t="n">
        <x:v>-0.2257875564300268</x:v>
      </x:c>
      <x:c r="D12" s="38" t="n">
        <x:v>0.06789673767573019</x:v>
      </x:c>
      <x:c r="E12" s="38" t="n">
        <x:v>-1.0182552766157231</x:v>
      </x:c>
      <x:c r="F12" s="44" t="n">
        <x:v>-16.584455450234785</x:v>
      </x:c>
    </x:row>
    <x:row r="13">
      <x:c r="A13" s="34" t="str">
        <x:v>monthly_income</x:v>
      </x:c>
      <x:c r="B13" s="34" t="str">
        <x:v>(11509552.0, 15880296.2]</x:v>
      </x:c>
      <x:c r="C13" s="38" t="n">
        <x:v>-0.20208592324878616</x:v>
      </x:c>
      <x:c r="D13" s="38" t="n">
        <x:v>0.06789673767573019</x:v>
      </x:c>
      <x:c r="E13" s="38" t="n">
        <x:v>-1.0182552766157231</x:v>
      </x:c>
      <x:c r="F13" s="44" t="n">
        <x:v>-14.843532762522763</x:v>
      </x:c>
    </x:row>
    <x:row r="14">
      <x:c r="A14" s="34" t="str">
        <x:v>monthly_income</x:v>
      </x:c>
      <x:c r="B14" s="34" t="str">
        <x:v>(15880296.2, 20991771.6]</x:v>
      </x:c>
      <x:c r="C14" s="38" t="n">
        <x:v>-0.029502437342486604</x:v>
      </x:c>
      <x:c r="D14" s="38" t="n">
        <x:v>0.06789673767573019</x:v>
      </x:c>
      <x:c r="E14" s="38" t="n">
        <x:v>-1.0182552766157231</x:v>
      </x:c>
      <x:c r="F14" s="44" t="n">
        <x:v>-2.167000987636111</x:v>
      </x:c>
    </x:row>
    <x:row r="15">
      <x:c r="A15" s="34" t="str">
        <x:v>monthly_income</x:v>
      </x:c>
      <x:c r="B15" s="34" t="str">
        <x:v>(20991771.6, 29230732.8]</x:v>
      </x:c>
      <x:c r="C15" s="38" t="n">
        <x:v>0.05409808697520918</x:v>
      </x:c>
      <x:c r="D15" s="38" t="n">
        <x:v>0.06789673767573019</x:v>
      </x:c>
      <x:c r="E15" s="38" t="n">
        <x:v>-1.0182552766157231</x:v>
      </x:c>
      <x:c r="F15" s="44" t="n">
        <x:v>3.973590606891253</x:v>
      </x:c>
    </x:row>
    <x:row r="16">
      <x:c r="A16" s="34" t="str">
        <x:v>monthly_income</x:v>
      </x:c>
      <x:c r="B16" s="34" t="str">
        <x:v>(29230732.8, inf]</x:v>
      </x:c>
      <x:c r="C16" s="38" t="n">
        <x:v>0.5376635608960703</x:v>
      </x:c>
      <x:c r="D16" s="38" t="n">
        <x:v>0.06789673767573019</x:v>
      </x:c>
      <x:c r="E16" s="38" t="n">
        <x:v>-1.0182552766157231</x:v>
      </x:c>
      <x:c r="F16" s="44" t="n">
        <x:v>39.49224445262497</x:v>
      </x:c>
    </x:row>
    <x:row r="17">
      <x:c r="A17" s="34" t="str">
        <x:v>employment_months</x:v>
      </x:c>
      <x:c r="B17" s="34" t="str">
        <x:v>(-inf, 30.0]</x:v>
      </x:c>
      <x:c r="C17" s="38" t="n">
        <x:v>-0.10344265057056236</x:v>
      </x:c>
      <x:c r="D17" s="38" t="n">
        <x:v>0.007854390377653779</x:v>
      </x:c>
      <x:c r="E17" s="38" t="n">
        <x:v>-0.80133955448518</x:v>
      </x:c>
      <x:c r="F17" s="44" t="n">
        <x:v>-5.979443460768128</x:v>
      </x:c>
    </x:row>
    <x:row r="18">
      <x:c r="A18" s="34" t="str">
        <x:v>employment_months</x:v>
      </x:c>
      <x:c r="B18" s="34" t="str">
        <x:v>(30.0, 44.0]</x:v>
      </x:c>
      <x:c r="C18" s="38" t="n">
        <x:v>-0.032867383925322874</x:v>
      </x:c>
      <x:c r="D18" s="38" t="n">
        <x:v>0.007854390377653779</x:v>
      </x:c>
      <x:c r="E18" s="38" t="n">
        <x:v>-0.80133955448518</x:v>
      </x:c>
      <x:c r="F18" s="44" t="n">
        <x:v>-1.8998803955701744</x:v>
      </x:c>
    </x:row>
    <x:row r="19">
      <x:c r="A19" s="34" t="str">
        <x:v>employment_months</x:v>
      </x:c>
      <x:c r="B19" s="34" t="str">
        <x:v>(44.0, 60.0]</x:v>
      </x:c>
      <x:c r="C19" s="38" t="n">
        <x:v>-0.05878938345511933</x:v>
      </x:c>
      <x:c r="D19" s="38" t="n">
        <x:v>0.007854390377653779</x:v>
      </x:c>
      <x:c r="E19" s="38" t="n">
        <x:v>-0.80133955448518</x:v>
      </x:c>
      <x:c r="F19" s="44" t="n">
        <x:v>-3.398286804566286</x:v>
      </x:c>
    </x:row>
    <x:row r="20">
      <x:c r="A20" s="34" t="str">
        <x:v>employment_months</x:v>
      </x:c>
      <x:c r="B20" s="34" t="str">
        <x:v>(60.0, 83.0]</x:v>
      </x:c>
      <x:c r="C20" s="38" t="n">
        <x:v>0.11720539297187532</x:v>
      </x:c>
      <x:c r="D20" s="38" t="n">
        <x:v>0.007854390377653779</x:v>
      </x:c>
      <x:c r="E20" s="38" t="n">
        <x:v>-0.80133955448518</x:v>
      </x:c>
      <x:c r="F20" s="44" t="n">
        <x:v>6.774990941423908</x:v>
      </x:c>
    </x:row>
    <x:row r="21">
      <x:c r="A21" s="34" t="str">
        <x:v>employment_months</x:v>
      </x:c>
      <x:c r="B21" s="34" t="str">
        <x:v>(83.0, inf]</x:v>
      </x:c>
      <x:c r="C21" s="38" t="n">
        <x:v>0.10342707492815395</x:v>
      </x:c>
      <x:c r="D21" s="38" t="n">
        <x:v>0.007854390377653779</x:v>
      </x:c>
      <x:c r="E21" s="38" t="n">
        <x:v>-0.80133955448518</x:v>
      </x:c>
      <x:c r="F21" s="44" t="n">
        <x:v>5.978543119635795</x:v>
      </x:c>
    </x:row>
    <x:row r="22">
      <x:c r="A22" s="34" t="str">
        <x:v>bureau_score</x:v>
      </x:c>
      <x:c r="B22" s="34" t="str">
        <x:v>(-inf, 580.0]</x:v>
      </x:c>
      <x:c r="C22" s="38" t="n">
        <x:v>-0.4423203738085151</x:v>
      </x:c>
      <x:c r="D22" s="38" t="n">
        <x:v>0.11748923281479634</x:v>
      </x:c>
      <x:c r="E22" s="38" t="n">
        <x:v>-1.019788625566998</x:v>
      </x:c>
      <x:c r="F22" s="44" t="n">
        <x:v>-32.53805964427899</x:v>
      </x:c>
    </x:row>
    <x:row r="23">
      <x:c r="A23" s="34" t="str">
        <x:v>bureau_score</x:v>
      </x:c>
      <x:c r="B23" s="34" t="str">
        <x:v>(580.0, 621.0]</x:v>
      </x:c>
      <x:c r="C23" s="38" t="n">
        <x:v>-0.16823698161691172</x:v>
      </x:c>
      <x:c r="D23" s="38" t="n">
        <x:v>0.11748923281479634</x:v>
      </x:c>
      <x:c r="E23" s="38" t="n">
        <x:v>-1.019788625566998</x:v>
      </x:c>
      <x:c r="F23" s="44" t="n">
        <x:v>-12.375882429043019</x:v>
      </x:c>
    </x:row>
    <x:row r="24">
      <x:c r="A24" s="34" t="str">
        <x:v>bureau_score</x:v>
      </x:c>
      <x:c r="B24" s="34" t="str">
        <x:v>(621.0, 657.0]</x:v>
      </x:c>
      <x:c r="C24" s="38" t="n">
        <x:v>-0.023700715384239717</x:v>
      </x:c>
      <x:c r="D24" s="38" t="n">
        <x:v>0.11748923281479634</x:v>
      </x:c>
      <x:c r="E24" s="38" t="n">
        <x:v>-1.019788625566998</x:v>
      </x:c>
      <x:c r="F24" s="44" t="n">
        <x:v>-1.7434767567779323</x:v>
      </x:c>
    </x:row>
    <x:row r="25">
      <x:c r="A25" s="34" t="str">
        <x:v>bureau_score</x:v>
      </x:c>
      <x:c r="B25" s="34" t="str">
        <x:v>(657.0, 699.0]</x:v>
      </x:c>
      <x:c r="C25" s="38" t="n">
        <x:v>0.37124276043632054</x:v>
      </x:c>
      <x:c r="D25" s="38" t="n">
        <x:v>0.11748923281479634</x:v>
      </x:c>
      <x:c r="E25" s="38" t="n">
        <x:v>-1.019788625566998</x:v>
      </x:c>
      <x:c r="F25" s="44" t="n">
        <x:v>27.309434059243944</x:v>
      </x:c>
    </x:row>
    <x:row r="26">
      <x:c r="A26" s="34" t="str">
        <x:v>bureau_score</x:v>
      </x:c>
      <x:c r="B26" s="34" t="str">
        <x:v>(699.0, inf]</x:v>
      </x:c>
      <x:c r="C26" s="38" t="n">
        <x:v>0.498152515297189</x:v>
      </x:c>
      <x:c r="D26" s="38" t="n">
        <x:v>0.11748923281479634</x:v>
      </x:c>
      <x:c r="E26" s="38" t="n">
        <x:v>-1.019788625566998</x:v>
      </x:c>
      <x:c r="F26" s="44" t="n">
        <x:v>36.645194782966385</x:v>
      </x:c>
    </x:row>
    <x:row r="27">
      <x:c r="A27" s="34" t="str">
        <x:v>existing_dti</x:v>
      </x:c>
      <x:c r="B27" s="34" t="str">
        <x:v>(-inf, 0.164]</x:v>
      </x:c>
      <x:c r="C27" s="38" t="n">
        <x:v>0.2933271616601157</x:v>
      </x:c>
      <x:c r="D27" s="38" t="n">
        <x:v>0.08746323380644931</x:v>
      </x:c>
      <x:c r="E27" s="38" t="n">
        <x:v>-1.0290963175886831</x:v>
      </x:c>
      <x:c r="F27" s="44" t="n">
        <x:v>21.774733446171727</x:v>
      </x:c>
    </x:row>
    <x:row r="28">
      <x:c r="A28" s="34" t="str">
        <x:v>existing_dti</x:v>
      </x:c>
      <x:c r="B28" s="34" t="str">
        <x:v>(0.164, 0.253]</x:v>
      </x:c>
      <x:c r="C28" s="38" t="n">
        <x:v>0.30725395477052225</x:v>
      </x:c>
      <x:c r="D28" s="38" t="n">
        <x:v>0.08746323380644931</x:v>
      </x:c>
      <x:c r="E28" s="38" t="n">
        <x:v>-1.0290963175886831</x:v>
      </x:c>
      <x:c r="F28" s="44" t="n">
        <x:v>22.808569542436377</x:v>
      </x:c>
    </x:row>
    <x:row r="29">
      <x:c r="A29" s="34" t="str">
        <x:v>existing_dti</x:v>
      </x:c>
      <x:c r="B29" s="34" t="str">
        <x:v>(0.253, 0.345]</x:v>
      </x:c>
      <x:c r="C29" s="38" t="n">
        <x:v>0.10163160283239145</x:v>
      </x:c>
      <x:c r="D29" s="38" t="n">
        <x:v>0.08746323380644931</x:v>
      </x:c>
      <x:c r="E29" s="38" t="n">
        <x:v>-1.0290963175886831</x:v>
      </x:c>
      <x:c r="F29" s="44" t="n">
        <x:v>7.544480534491947</x:v>
      </x:c>
    </x:row>
    <x:row r="30">
      <x:c r="A30" s="34" t="str">
        <x:v>existing_dti</x:v>
      </x:c>
      <x:c r="B30" s="34" t="str">
        <x:v>(0.345, 0.463]</x:v>
      </x:c>
      <x:c r="C30" s="38" t="n">
        <x:v>-0.07802601087362238</x:v>
      </x:c>
      <x:c r="D30" s="38" t="n">
        <x:v>0.08746323380644931</x:v>
      </x:c>
      <x:c r="E30" s="38" t="n">
        <x:v>-1.0290963175886831</x:v>
      </x:c>
      <x:c r="F30" s="44" t="n">
        <x:v>-5.792152281519314</x:v>
      </x:c>
    </x:row>
    <x:row r="31">
      <x:c r="A31" s="34" t="str">
        <x:v>existing_dti</x:v>
      </x:c>
      <x:c r="B31" s="34" t="str">
        <x:v>(0.463, inf]</x:v>
      </x:c>
      <x:c r="C31" s="38" t="n">
        <x:v>-0.46851268725725526</x:v>
      </x:c>
      <x:c r="D31" s="38" t="n">
        <x:v>0.08746323380644931</x:v>
      </x:c>
      <x:c r="E31" s="38" t="n">
        <x:v>-1.0290963175886831</x:v>
      </x:c>
      <x:c r="F31" s="44" t="n">
        <x:v>-34.77938702791294</x:v>
      </x:c>
    </x:row>
    <x:row r="32">
      <x:c r="A32" s="34" t="str">
        <x:v>requested_amount</x:v>
      </x:c>
      <x:c r="B32" s="34" t="str">
        <x:v>(-inf, 32052285.6]</x:v>
      </x:c>
      <x:c r="C32" s="38" t="n">
        <x:v>0.2259195654721966</x:v>
      </x:c>
      <x:c r="D32" s="38" t="n">
        <x:v>0.055391373118101175</x:v>
      </x:c>
      <x:c r="E32" s="38" t="n">
        <x:v>-1.020361335866571</x:v>
      </x:c>
      <x:c r="F32" s="44" t="n">
        <x:v>16.628473438886754</x:v>
      </x:c>
    </x:row>
    <x:row r="33">
      <x:c r="A33" s="34" t="str">
        <x:v>requested_amount</x:v>
      </x:c>
      <x:c r="B33" s="34" t="str">
        <x:v>(32052285.6, 46782829.0]</x:v>
      </x:c>
      <x:c r="C33" s="38" t="n">
        <x:v>0.2259195654721966</x:v>
      </x:c>
      <x:c r="D33" s="38" t="n">
        <x:v>0.055391373118101175</x:v>
      </x:c>
      <x:c r="E33" s="38" t="n">
        <x:v>-1.020361335866571</x:v>
      </x:c>
      <x:c r="F33" s="44" t="n">
        <x:v>16.628473438886754</x:v>
      </x:c>
    </x:row>
    <x:row r="34">
      <x:c r="A34" s="34" t="str">
        <x:v>requested_amount</x:v>
      </x:c>
      <x:c r="B34" s="34" t="str">
        <x:v>(46782829.0, 64998489.4]</x:v>
      </x:c>
      <x:c r="C34" s="38" t="n">
        <x:v>0.11892088142878258</x:v>
      </x:c>
      <x:c r="D34" s="38" t="n">
        <x:v>0.055391373118101175</x:v>
      </x:c>
      <x:c r="E34" s="38" t="n">
        <x:v>-1.020361335866571</x:v>
      </x:c>
      <x:c r="F34" s="44" t="n">
        <x:v>8.752994518356026</x:v>
      </x:c>
    </x:row>
    <x:row r="35">
      <x:c r="A35" s="34" t="str">
        <x:v>requested_amount</x:v>
      </x:c>
      <x:c r="B35" s="34" t="str">
        <x:v>(64998489.4, 95687433.0]</x:v>
      </x:c>
      <x:c r="C35" s="38" t="n">
        <x:v>-0.09802408761218527</x:v>
      </x:c>
      <x:c r="D35" s="38" t="n">
        <x:v>0.055391373118101175</x:v>
      </x:c>
      <x:c r="E35" s="38" t="n">
        <x:v>-1.020361335866571</x:v>
      </x:c>
      <x:c r="F35" s="44" t="n">
        <x:v>-7.214917104782277</x:v>
      </x:c>
    </x:row>
    <x:row r="36">
      <x:c r="A36" s="34" t="str">
        <x:v>requested_amount</x:v>
      </x:c>
      <x:c r="B36" s="34" t="str">
        <x:v>(95687433.0, inf]</x:v>
      </x:c>
      <x:c r="C36" s="38" t="n">
        <x:v>-0.3733943789101145</x:v>
      </x:c>
      <x:c r="D36" s="38" t="n">
        <x:v>0.055391373118101175</x:v>
      </x:c>
      <x:c r="E36" s="38" t="n">
        <x:v>-1.020361335866571</x:v>
      </x:c>
      <x:c r="F36" s="44" t="n">
        <x:v>-27.48313763333871</x:v>
      </x:c>
    </x:row>
    <x:row r="37">
      <x:c r="A37" s="34" t="str">
        <x:v>tenor_months</x:v>
      </x:c>
      <x:c r="B37" s="34" t="str">
        <x:v>(-inf, 12.0]</x:v>
      </x:c>
      <x:c r="C37" s="38" t="n">
        <x:v>-0.047467642709777665</x:v>
      </x:c>
      <x:c r="D37" s="38" t="n">
        <x:v>0.007052080958387244</x:v>
      </x:c>
      <x:c r="E37" s="38" t="n">
        <x:v>-0.7751122659732098</x:v>
      </x:c>
      <x:c r="F37" s="44" t="n">
        <x:v>-2.6540360498516478</x:v>
      </x:c>
    </x:row>
    <x:row r="38">
      <x:c r="A38" s="34" t="str">
        <x:v>tenor_months</x:v>
      </x:c>
      <x:c r="B38" s="34" t="str">
        <x:v>(12.0, 18.0]</x:v>
      </x:c>
      <x:c r="C38" s="38" t="n">
        <x:v>0.08389032123290303</x:v>
      </x:c>
      <x:c r="D38" s="38" t="n">
        <x:v>0.007052080958387244</x:v>
      </x:c>
      <x:c r="E38" s="38" t="n">
        <x:v>-0.7751122659732098</x:v>
      </x:c>
      <x:c r="F38" s="44" t="n">
        <x:v>4.690520195979681</x:v>
      </x:c>
    </x:row>
    <x:row r="39">
      <x:c r="A39" s="34" t="str">
        <x:v>tenor_months</x:v>
      </x:c>
      <x:c r="B39" s="34" t="str">
        <x:v>(18.0, 24.0]</x:v>
      </x:c>
      <x:c r="C39" s="38" t="n">
        <x:v>-0.04891542067632876</x:v>
      </x:c>
      <x:c r="D39" s="38" t="n">
        <x:v>0.007052080958387244</x:v>
      </x:c>
      <x:c r="E39" s="38" t="n">
        <x:v>-0.7751122659732098</x:v>
      </x:c>
      <x:c r="F39" s="44" t="n">
        <x:v>-2.734984980450555</x:v>
      </x:c>
    </x:row>
    <x:row r="40">
      <x:c r="A40" s="34" t="str">
        <x:v>tenor_months</x:v>
      </x:c>
      <x:c r="B40" s="34" t="str">
        <x:v>(24.0, inf]</x:v>
      </x:c>
      <x:c r="C40" s="38" t="n">
        <x:v>0.19645498052793794</x:v>
      </x:c>
      <x:c r="D40" s="38" t="n">
        <x:v>0.007052080958387244</x:v>
      </x:c>
      <x:c r="E40" s="38" t="n">
        <x:v>-0.7751122659732098</x:v>
      </x:c>
      <x:c r="F40" s="44" t="n">
        <x:v>10.984295210991172</x:v>
      </x:c>
    </x:row>
    <x:row r="41">
      <x:c r="A41" s="34" t="str">
        <x:v>inquiries_6m</x:v>
      </x:c>
      <x:c r="B41" s="34" t="str">
        <x:v>(-inf, 1.0]</x:v>
      </x:c>
      <x:c r="C41" s="38" t="n">
        <x:v>0.17148869120669694</x:v>
      </x:c>
      <x:c r="D41" s="38" t="n">
        <x:v>0.058502101565046795</x:v>
      </x:c>
      <x:c r="E41" s="38" t="n">
        <x:v>-1.0111010344656186</x:v>
      </x:c>
      <x:c r="F41" s="44" t="n">
        <x:v>12.507617281092788</x:v>
      </x:c>
    </x:row>
    <x:row r="42">
      <x:c r="A42" s="34" t="str">
        <x:v>inquiries_6m</x:v>
      </x:c>
      <x:c r="B42" s="34" t="str">
        <x:v>(1.0, 2.0]</x:v>
      </x:c>
      <x:c r="C42" s="38" t="n">
        <x:v>-0.1594205043155286</x:v>
      </x:c>
      <x:c r="D42" s="38" t="n">
        <x:v>0.058502101565046795</x:v>
      </x:c>
      <x:c r="E42" s="38" t="n">
        <x:v>-1.0111010344656186</x:v>
      </x:c>
      <x:c r="F42" s="44" t="n">
        <x:v>-11.627417765606953</x:v>
      </x:c>
    </x:row>
    <x:row r="43">
      <x:c r="A43" s="34" t="str">
        <x:v>inquiries_6m</x:v>
      </x:c>
      <x:c r="B43" s="34" t="str">
        <x:v>(2.0, inf]</x:v>
      </x:c>
      <x:c r="C43" s="38" t="n">
        <x:v>-0.48323337339090655</x:v>
      </x:c>
      <x:c r="D43" s="38" t="n">
        <x:v>0.058502101565046795</x:v>
      </x:c>
      <x:c r="E43" s="38" t="n">
        <x:v>-1.0111010344656186</x:v>
      </x:c>
      <x:c r="F43" s="44" t="n">
        <x:v>-35.24487853569224</x:v>
      </x:c>
    </x:row>
    <x:row r="44">
      <x:c r="A44" s="34" t="str">
        <x:v>employment_type</x:v>
      </x:c>
      <x:c r="B44" s="34" t="str">
        <x:v>Contract</x:v>
      </x:c>
      <x:c r="C44" s="38" t="n">
        <x:v>-0.1603146816770645</x:v>
      </x:c>
      <x:c r="D44" s="38" t="n">
        <x:v>0.01023380760533226</x:v>
      </x:c>
      <x:c r="E44" s="38" t="n">
        <x:v>-0.920235956351085</x:v>
      </x:c>
      <x:c r="F44" s="44" t="n">
        <x:v>-10.641847687459117</x:v>
      </x:c>
    </x:row>
    <x:row r="45">
      <x:c r="A45" s="34" t="str">
        <x:v>employment_type</x:v>
      </x:c>
      <x:c r="B45" s="34" t="str">
        <x:v>Salaried</x:v>
      </x:c>
      <x:c r="C45" s="38" t="n">
        <x:v>0.07781193354353058</x:v>
      </x:c>
      <x:c r="D45" s="38" t="n">
        <x:v>0.01023380760533226</x:v>
      </x:c>
      <x:c r="E45" s="38" t="n">
        <x:v>-0.920235956351085</x:v>
      </x:c>
      <x:c r="F45" s="44" t="n">
        <x:v>5.165233379591401</x:v>
      </x:c>
    </x:row>
    <x:row r="46">
      <x:c r="A46" s="34" t="str">
        <x:v>employment_type</x:v>
      </x:c>
      <x:c r="B46" s="34" t="str">
        <x:v>Self-employed</x:v>
      </x:c>
      <x:c r="C46" s="38" t="n">
        <x:v>-0.10986060325512789</x:v>
      </x:c>
      <x:c r="D46" s="38" t="n">
        <x:v>0.01023380760533226</x:v>
      </x:c>
      <x:c r="E46" s="38" t="n">
        <x:v>-0.920235956351085</x:v>
      </x:c>
      <x:c r="F46" s="44" t="n">
        <x:v>-7.292655884434239</x:v>
      </x:c>
    </x:row>
    <x:row r="47">
      <x:c r="A47" s="34" t="str">
        <x:v>home_ownership</x:v>
      </x:c>
      <x:c r="B47" s="34" t="str">
        <x:v>Family</x:v>
      </x:c>
      <x:c r="C47" s="38" t="n">
        <x:v>0.20629167233488818</x:v>
      </x:c>
      <x:c r="D47" s="38" t="n">
        <x:v>0.01902453164986114</x:v>
      </x:c>
      <x:c r="E47" s="38" t="n">
        <x:v>-0.9609042237407897</x:v>
      </x:c>
      <x:c r="F47" s="44" t="n">
        <x:v>14.299022258808849</x:v>
      </x:c>
    </x:row>
    <x:row r="48">
      <x:c r="A48" s="34" t="str">
        <x:v>home_ownership</x:v>
      </x:c>
      <x:c r="B48" s="34" t="str">
        <x:v>Mortgage</x:v>
      </x:c>
      <x:c r="C48" s="38" t="n">
        <x:v>-0.03809775328006295</x:v>
      </x:c>
      <x:c r="D48" s="38" t="n">
        <x:v>0.01902453164986114</x:v>
      </x:c>
      <x:c r="E48" s="38" t="n">
        <x:v>-0.9609042237407897</x:v>
      </x:c>
      <x:c r="F48" s="44" t="n">
        <x:v>-2.6407300692093796</x:v>
      </x:c>
    </x:row>
    <x:row r="49">
      <x:c r="A49" s="34" t="str">
        <x:v>home_ownership</x:v>
      </x:c>
      <x:c r="B49" s="34" t="str">
        <x:v>Owned</x:v>
      </x:c>
      <x:c r="C49" s="38" t="n">
        <x:v>0.10235593535402976</x:v>
      </x:c>
      <x:c r="D49" s="38" t="n">
        <x:v>0.01902453164986114</x:v>
      </x:c>
      <x:c r="E49" s="38" t="n">
        <x:v>-0.9609042237407897</x:v>
      </x:c>
      <x:c r="F49" s="44" t="n">
        <x:v>7.0947594800265135</x:v>
      </x:c>
    </x:row>
    <x:row r="50">
      <x:c r="A50" s="34" t="str">
        <x:v>home_ownership</x:v>
      </x:c>
      <x:c r="B50" s="34" t="str">
        <x:v>Rented</x:v>
      </x:c>
      <x:c r="C50" s="38" t="n">
        <x:v>-0.14849094082607014</x:v>
      </x:c>
      <x:c r="D50" s="38" t="n">
        <x:v>0.01902453164986114</x:v>
      </x:c>
      <x:c r="E50" s="38" t="n">
        <x:v>-0.9609042237407897</x:v>
      </x:c>
      <x:c r="F50" s="44" t="n">
        <x:v>-10.29258837291589</x:v>
      </x:c>
    </x:row>
    <x:row r="51">
      <x:c r="A51" s="34" t="str">
        <x:v>channel</x:v>
      </x:c>
      <x:c r="B51" s="34" t="str">
        <x:v>Branch</x:v>
      </x:c>
      <x:c r="C51" s="38" t="n">
        <x:v>0.06260183540512719</x:v>
      </x:c>
      <x:c r="D51" s="38" t="n">
        <x:v>0.0027885621828445104</x:v>
      </x:c>
      <x:c r="E51" s="38" t="n">
        <x:v>-0.5581438773408766</x:v>
      </x:c>
      <x:c r="F51" s="44" t="n">
        <x:v>2.5204481906315186</x:v>
      </x:c>
    </x:row>
    <x:row r="52">
      <x:c r="A52" s="34" t="str">
        <x:v>channel</x:v>
      </x:c>
      <x:c r="B52" s="34" t="str">
        <x:v>Mobile</x:v>
      </x:c>
      <x:c r="C52" s="38" t="n">
        <x:v>0.02041206286934363</x:v>
      </x:c>
      <x:c r="D52" s="38" t="n">
        <x:v>0.0027885621828445104</x:v>
      </x:c>
      <x:c r="E52" s="38" t="n">
        <x:v>-0.5581438773408766</x:v>
      </x:c>
      <x:c r="F52" s="44" t="n">
        <x:v>0.8218217020819221</x:v>
      </x:c>
    </x:row>
    <x:row r="53">
      <x:c r="A53" s="36" t="str">
        <x:v>channel</x:v>
      </x:c>
      <x:c r="B53" s="36" t="str">
        <x:v>Partner</x:v>
      </x:c>
      <x:c r="C53" s="39" t="n">
        <x:v>-0.08750621529599424</x:v>
      </x:c>
      <x:c r="D53" s="39" t="n">
        <x:v>0.0027885621828445104</x:v>
      </x:c>
      <x:c r="E53" s="39" t="n">
        <x:v>-0.5581438773408766</x:v>
      </x:c>
      <x:c r="F53" s="45" t="n">
        <x:v>-3.5231376298231827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8.329999923706055" hidden="0" customWidth="1"/>
    <x:col min="6" max="6" width="6.78000020980835" hidden="0" customWidth="1"/>
    <x:col min="7" max="7" width="6.440000057220459" hidden="0" customWidth="1"/>
  </x:cols>
  <x:sheetData>
    <x:row r="2">
      <x:c r="A2" s="29" t="str">
        <x:v>Reject Inference Sensitivity</x:v>
      </x:c>
      <x:c r="B2" s="30"/>
      <x:c r="C2" s="30"/>
      <x:c r="D2" s="30"/>
      <x:c r="E2" s="30"/>
      <x:c r="F2" s="30"/>
      <x:c r="G2" s="30"/>
    </x:row>
    <x:row r="3">
      <x:c r="A3" s="31" t="str">
        <x:v>Accepted-only and fuzzy augmentation compared with synthetic full-information benchmark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Method</x:v>
      </x:c>
      <x:c r="B6" s="9" t="str">
        <x:v>AUC</x:v>
      </x:c>
      <x:c r="C6" s="9" t="str">
        <x:v>Gini</x:v>
      </x:c>
      <x:c r="D6" s="9" t="str">
        <x:v>KS</x:v>
      </x:c>
      <x:c r="E6" s="9" t="str">
        <x:v>Brier score</x:v>
      </x:c>
      <x:c r="F6" s="9" t="str">
        <x:v>Mean PD</x:v>
      </x:c>
      <x:c r="G6" s="9" t="str">
        <x:v>Bad rate</x:v>
      </x:c>
    </x:row>
    <x:row r="7">
      <x:c r="A7" s="34" t="str">
        <x:v>Full-information benchmark</x:v>
      </x:c>
      <x:c r="B7" s="38" t="n">
        <x:v>0.6726936687977345</x:v>
      </x:c>
      <x:c r="C7" s="38" t="n">
        <x:v>0.345387337595469</x:v>
      </x:c>
      <x:c r="D7" s="38" t="n">
        <x:v>0.25397511656882465</x:v>
      </x:c>
      <x:c r="E7" s="38" t="n">
        <x:v>0.11065591177023448</x:v>
      </x:c>
      <x:c r="F7" s="35" t="n">
        <x:v>0.13325037417831714</x:v>
      </x:c>
      <x:c r="G7" s="35" t="n">
        <x:v>0.13425</x:v>
      </x:c>
    </x:row>
    <x:row r="8">
      <x:c r="A8" s="34" t="str">
        <x:v>Accepted-only</x:v>
      </x:c>
      <x:c r="B8" s="38" t="n">
        <x:v>0.6678284562905221</x:v>
      </x:c>
      <x:c r="C8" s="38" t="n">
        <x:v>0.33565691258104424</x:v>
      </x:c>
      <x:c r="D8" s="38" t="n">
        <x:v>0.23629096309966868</x:v>
      </x:c>
      <x:c r="E8" s="38" t="n">
        <x:v>0.11106605334262318</x:v>
      </x:c>
      <x:c r="F8" s="35" t="n">
        <x:v>0.12614100809866433</x:v>
      </x:c>
      <x:c r="G8" s="35" t="n">
        <x:v>0.13425</x:v>
      </x:c>
    </x:row>
    <x:row r="9">
      <x:c r="A9" s="36" t="str">
        <x:v>Fuzzy augmentation</x:v>
      </x:c>
      <x:c r="B9" s="39" t="n">
        <x:v>0.6767307600271237</x:v>
      </x:c>
      <x:c r="C9" s="39" t="n">
        <x:v>0.35346152005424747</x:v>
      </x:c>
      <x:c r="D9" s="39" t="n">
        <x:v>0.2622563293470586</x:v>
      </x:c>
      <x:c r="E9" s="39" t="n">
        <x:v>0.11037052394771052</x:v>
      </x:c>
      <x:c r="F9" s="37" t="n">
        <x:v>0.1268843596382893</x:v>
      </x:c>
      <x:c r="G9" s="37" t="n">
        <x:v>0.13425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.329999923706055" hidden="0" customWidth="1"/>
    <x:col min="3" max="3" width="10" hidden="0" customWidth="1"/>
    <x:col min="4" max="4" width="6.440000057220459" hidden="0" customWidth="1"/>
    <x:col min="5" max="5" width="6.78000020980835" hidden="0" customWidth="1"/>
    <x:col min="6" max="6" width="16.110000610351562" hidden="0" customWidth="1"/>
    <x:col min="7" max="7" width="12.220000267028809" hidden="0" customWidth="1"/>
  </x:cols>
  <x:sheetData>
    <x:row r="2">
      <x:c r="A2" s="29" t="str">
        <x:v>Responsible Lending Review</x:v>
      </x:c>
      <x:c r="B2" s="30"/>
      <x:c r="C2" s="30"/>
      <x:c r="D2" s="30"/>
      <x:c r="E2" s="30"/>
      <x:c r="F2" s="30"/>
      <x:c r="G2" s="30"/>
    </x:row>
    <x:row r="3">
      <x:c r="A3" s="31" t="str">
        <x:v>Approval, outcome and disparate-impact monitoring by segment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Group</x:v>
      </x:c>
      <x:c r="B6" s="9" t="str">
        <x:v>Applications</x:v>
      </x:c>
      <x:c r="C6" s="9" t="str">
        <x:v>Approval rate</x:v>
      </x:c>
      <x:c r="D6" s="9" t="str">
        <x:v>Bad rate</x:v>
      </x:c>
      <x:c r="E6" s="9" t="str">
        <x:v>Mean PD</x:v>
      </x:c>
      <x:c r="F6" s="9" t="str">
        <x:v>Disparate impact ratio</x:v>
      </x:c>
      <x:c r="G6" s="9" t="str">
        <x:v>Dimension</x:v>
      </x:c>
    </x:row>
    <x:row r="7">
      <x:c r="A7" s="34" t="str">
        <x:v>20-25</x:v>
      </x:c>
      <x:c r="B7" s="40" t="n">
        <x:v>624</x:v>
      </x:c>
      <x:c r="C7" s="35" t="n">
        <x:v>0.28846153846153844</x:v>
      </x:c>
      <x:c r="D7" s="35" t="n">
        <x:v>0.1266025641025641</x:v>
      </x:c>
      <x:c r="E7" s="35" t="n">
        <x:v>0.13786725605270042</x:v>
      </x:c>
      <x:c r="F7" s="46" t="n">
        <x:v>0.9342709529276693</x:v>
      </x:c>
      <x:c r="G7" s="34" t="str">
        <x:v>age_band</x:v>
      </x:c>
    </x:row>
    <x:row r="8">
      <x:c r="A8" s="34" t="str">
        <x:v>26-35</x:v>
      </x:c>
      <x:c r="B8" s="40" t="n">
        <x:v>1501</x:v>
      </x:c>
      <x:c r="C8" s="35" t="n">
        <x:v>0.2678214523650899</x:v>
      </x:c>
      <x:c r="D8" s="35" t="n">
        <x:v>0.13391072618254496</x:v>
      </x:c>
      <x:c r="E8" s="35" t="n">
        <x:v>0.13447655294535604</x:v>
      </x:c>
      <x:c r="F8" s="46" t="n">
        <x:v>0.8674217188540972</x:v>
      </x:c>
      <x:c r="G8" s="34" t="str">
        <x:v>age_band</x:v>
      </x:c>
    </x:row>
    <x:row r="9">
      <x:c r="A9" s="34" t="str">
        <x:v>36-45</x:v>
      </x:c>
      <x:c r="B9" s="40" t="n">
        <x:v>1393</x:v>
      </x:c>
      <x:c r="C9" s="35" t="n">
        <x:v>0.2914572864321608</x:v>
      </x:c>
      <x:c r="D9" s="35" t="n">
        <x:v>0.13854989231873654</x:v>
      </x:c>
      <x:c r="E9" s="35" t="n">
        <x:v>0.12904975361287657</x:v>
      </x:c>
      <x:c r="F9" s="46" t="n">
        <x:v>0.9439735993399835</x:v>
      </x:c>
      <x:c r="G9" s="34" t="str">
        <x:v>age_band</x:v>
      </x:c>
    </x:row>
    <x:row r="10">
      <x:c r="A10" s="34" t="str">
        <x:v>46-55</x:v>
      </x:c>
      <x:c r="B10" s="40" t="n">
        <x:v>434</x:v>
      </x:c>
      <x:c r="C10" s="35" t="n">
        <x:v>0.3087557603686636</x:v>
      </x:c>
      <x:c r="D10" s="35" t="n">
        <x:v>0.1336405529953917</x:v>
      </x:c>
      <x:c r="E10" s="35" t="n">
        <x:v>0.13505942251843986</x:v>
      </x:c>
      <x:c r="F10" s="46" t="n">
        <x:v>1</x:v>
      </x:c>
      <x:c r="G10" s="34" t="str">
        <x:v>age_band</x:v>
      </x:c>
    </x:row>
    <x:row r="11">
      <x:c r="A11" s="34" t="str">
        <x:v>56-65</x:v>
      </x:c>
      <x:c r="B11" s="40" t="n">
        <x:v>48</x:v>
      </x:c>
      <x:c r="C11" s="35" t="n">
        <x:v>0.20833333333333334</x:v>
      </x:c>
      <x:c r="D11" s="35" t="n">
        <x:v>0.125</x:v>
      </x:c>
      <x:c r="E11" s="35" t="n">
        <x:v>0.1404359752013389</x:v>
      </x:c>
      <x:c r="F11" s="46" t="n">
        <x:v>0.6747512437810945</x:v>
      </x:c>
      <x:c r="G11" s="34" t="str">
        <x:v>age_band</x:v>
      </x:c>
    </x:row>
    <x:row r="12">
      <x:c r="A12" s="34" t="str">
        <x:v>Contract</x:v>
      </x:c>
      <x:c r="B12" s="40" t="n">
        <x:v>543</x:v>
      </x:c>
      <x:c r="C12" s="35" t="n">
        <x:v>0.22099447513812154</x:v>
      </x:c>
      <x:c r="D12" s="35" t="n">
        <x:v>0.1731123388581952</x:v>
      </x:c>
      <x:c r="E12" s="35" t="n">
        <x:v>0.15754011840605422</x:v>
      </x:c>
      <x:c r="F12" s="46" t="n">
        <x:v>0.7040728504400455</x:v>
      </x:c>
      <x:c r="G12" s="34" t="str">
        <x:v>employment_type</x:v>
      </x:c>
    </x:row>
    <x:row r="13">
      <x:c r="A13" s="34" t="str">
        <x:v>Salaried</x:v>
      </x:c>
      <x:c r="B13" s="40" t="n">
        <x:v>2536</x:v>
      </x:c>
      <x:c r="C13" s="35" t="n">
        <x:v>0.3138801261829653</x:v>
      </x:c>
      <x:c r="D13" s="35" t="n">
        <x:v>0.11947949526813881</x:v>
      </x:c>
      <x:c r="E13" s="35" t="n">
        <x:v>0.12465601056610898</x:v>
      </x:c>
      <x:c r="F13" s="46" t="n">
        <x:v>1</x:v>
      </x:c>
      <x:c r="G13" s="34" t="str">
        <x:v>employment_type</x:v>
      </x:c>
    </x:row>
    <x:row r="14">
      <x:c r="A14" s="34" t="str">
        <x:v>Self-employed</x:v>
      </x:c>
      <x:c r="B14" s="40" t="n">
        <x:v>921</x:v>
      </x:c>
      <x:c r="C14" s="35" t="n">
        <x:v>0.23452768729641693</x:v>
      </x:c>
      <x:c r="D14" s="35" t="n">
        <x:v>0.15200868621064062</x:v>
      </x:c>
      <x:c r="E14" s="35" t="n">
        <x:v>0.14259453813586198</x:v>
      </x:c>
      <x:c r="F14" s="46" t="n">
        <x:v>0.7471887122910972</x:v>
      </x:c>
      <x:c r="G14" s="34" t="str">
        <x:v>employment_type</x:v>
      </x:c>
    </x:row>
    <x:row r="15">
      <x:c r="A15" s="34" t="str">
        <x:v>Branch</x:v>
      </x:c>
      <x:c r="B15" s="40" t="n">
        <x:v>690</x:v>
      </x:c>
      <x:c r="C15" s="35" t="n">
        <x:v>0.2942028985507246</x:v>
      </x:c>
      <x:c r="D15" s="35" t="n">
        <x:v>0.1246376811594203</x:v>
      </x:c>
      <x:c r="E15" s="35" t="n">
        <x:v>0.13485793021188477</x:v>
      </x:c>
      <x:c r="F15" s="46" t="n">
        <x:v>1</x:v>
      </x:c>
      <x:c r="G15" s="34" t="str">
        <x:v>channel</x:v>
      </x:c>
    </x:row>
    <x:row r="16">
      <x:c r="A16" s="34" t="str">
        <x:v>Mobile</x:v>
      </x:c>
      <x:c r="B16" s="40" t="n">
        <x:v>2315</x:v>
      </x:c>
      <x:c r="C16" s="35" t="n">
        <x:v>0.29330453563714903</x:v>
      </x:c>
      <x:c r="D16" s="35" t="n">
        <x:v>0.1287257019438445</x:v>
      </x:c>
      <x:c r="E16" s="35" t="n">
        <x:v>0.13081006235519876</x:v>
      </x:c>
      <x:c r="F16" s="46" t="n">
        <x:v>0.9969464511804573</x:v>
      </x:c>
      <x:c r="G16" s="34" t="str">
        <x:v>channel</x:v>
      </x:c>
    </x:row>
    <x:row r="17">
      <x:c r="A17" s="36" t="str">
        <x:v>Partner</x:v>
      </x:c>
      <x:c r="B17" s="42" t="n">
        <x:v>995</x:v>
      </x:c>
      <x:c r="C17" s="37" t="n">
        <x:v>0.25125628140703515</x:v>
      </x:c>
      <x:c r="D17" s="37" t="n">
        <x:v>0.15376884422110554</x:v>
      </x:c>
      <x:c r="E17" s="37" t="n">
        <x:v>0.13781329699978195</x:v>
      </x:c>
      <x:c r="F17" s="47" t="n">
        <x:v>0.8540238136495284</x:v>
      </x:c>
      <x:c r="G17" s="36" t="str">
        <x:v>channel</x:v>
      </x:c>
    </x:row>
  </x:sheetData>
  <x:mergeCells>
    <x:mergeCell ref="A2:G2"/>
    <x:mergeCell ref="A3:G3"/>
  </x:mergeCells>
  <x:conditionalFormatting sqref="F7:F17">
    <x:cfRule type="cellIs" dxfId="2" priority="1" operator="lessThan">
      <x:formula>0.8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59999942779541" hidden="0" customWidth="1"/>
    <x:col min="2" max="2" width="7.440000057220459" hidden="0" customWidth="1"/>
    <x:col min="3" max="3" width="10" hidden="0" customWidth="1"/>
    <x:col min="4" max="4" width="13.5600004196167" hidden="0" customWidth="1"/>
    <x:col min="5" max="5" width="11.4399995803833" hidden="0" customWidth="1"/>
    <x:col min="6" max="6" width="10.779999732971191" hidden="0" customWidth="1"/>
    <x:col min="7" max="7" width="10.779999732971191" hidden="0" customWidth="1"/>
    <x:col min="8" max="8" width="11" hidden="0" customWidth="1"/>
    <x:col min="9" max="9" width="11.329999923706055" hidden="0" customWidth="1"/>
  </x:cols>
  <x:sheetData>
    <x:row r="2">
      <x:c r="A2" s="29" t="str">
        <x:v>Approval Cut-off Economics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18% income, 65% LGD, 7% funding cost and VND 350,000 operating cost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PD cut-off</x:v>
      </x:c>
      <x:c r="B6" s="9" t="str">
        <x:v>Approved</x:v>
      </x:c>
      <x:c r="C6" s="9" t="str">
        <x:v>Approval rate</x:v>
      </x:c>
      <x:c r="D6" s="9" t="str">
        <x:v>Observed bad rate</x:v>
      </x:c>
      <x:c r="E6" s="9" t="str">
        <x:v>Interest income</x:v>
      </x:c>
      <x:c r="F6" s="9" t="str">
        <x:v>Expected loss</x:v>
      </x:c>
      <x:c r="G6" s="9" t="str">
        <x:v>Funding cost</x:v>
      </x:c>
      <x:c r="H6" s="9" t="str">
        <x:v>Operating cost</x:v>
      </x:c>
      <x:c r="I6" s="9" t="str">
        <x:v>Expected profit</x:v>
      </x:c>
    </x:row>
    <x:row r="7">
      <x:c r="A7" s="48" t="n">
        <x:v>0.04</x:v>
      </x:c>
      <x:c r="B7" s="40" t="n">
        <x:v>222</x:v>
      </x:c>
      <x:c r="C7" s="49" t="n">
        <x:v>0.0555</x:v>
      </x:c>
      <x:c r="D7" s="49" t="n">
        <x:v>0.03153153153153153</x:v>
      </x:c>
      <x:c r="E7" s="40" t="n">
        <x:v>1682925142.6799998</x:v>
      </x:c>
      <x:c r="F7" s="40" t="n">
        <x:v>183445666.64941853</x:v>
      </x:c>
      <x:c r="G7" s="40" t="n">
        <x:v>654470888.8200002</x:v>
      </x:c>
      <x:c r="H7" s="40" t="n">
        <x:v>77700000</x:v>
      </x:c>
      <x:c r="I7" s="40" t="n">
        <x:v>767308587.2105811</x:v>
      </x:c>
    </x:row>
    <x:row r="8">
      <x:c r="A8" s="48" t="n">
        <x:v>0.05</x:v>
      </x:c>
      <x:c r="B8" s="40" t="n">
        <x:v>425</x:v>
      </x:c>
      <x:c r="C8" s="49" t="n">
        <x:v>0.10625</x:v>
      </x:c>
      <x:c r="D8" s="49" t="n">
        <x:v>0.04</x:v>
      </x:c>
      <x:c r="E8" s="40" t="n">
        <x:v>3435401520.8999996</x:v>
      </x:c>
      <x:c r="F8" s="40" t="n">
        <x:v>469371751.8409868</x:v>
      </x:c>
      <x:c r="G8" s="40" t="n">
        <x:v>1335989480.3500001</x:v>
      </x:c>
      <x:c r="H8" s="40" t="n">
        <x:v>148750000</x:v>
      </x:c>
      <x:c r="I8" s="40" t="n">
        <x:v>1481290288.7090127</x:v>
      </x:c>
    </x:row>
    <x:row r="9">
      <x:c r="A9" s="48" t="n">
        <x:v>0.060000000000000005</x:v>
      </x:c>
      <x:c r="B9" s="40" t="n">
        <x:v>643</x:v>
      </x:c>
      <x:c r="C9" s="49" t="n">
        <x:v>0.16075</x:v>
      </x:c>
      <x:c r="D9" s="49" t="n">
        <x:v>0.04354587869362364</x:v>
      </x:c>
      <x:c r="E9" s="40" t="n">
        <x:v>5409812933.639999</x:v>
      </x:c>
      <x:c r="F9" s="40" t="n">
        <x:v>861281860.7598784</x:v>
      </x:c>
      <x:c r="G9" s="40" t="n">
        <x:v>2103816140.8600001</x:v>
      </x:c>
      <x:c r="H9" s="40" t="n">
        <x:v>225050000</x:v>
      </x:c>
      <x:c r="I9" s="40" t="n">
        <x:v>2219664932.020121</x:v>
      </x:c>
    </x:row>
    <x:row r="10">
      <x:c r="A10" s="48" t="n">
        <x:v>0.07</x:v>
      </x:c>
      <x:c r="B10" s="40" t="n">
        <x:v>907</x:v>
      </x:c>
      <x:c r="C10" s="49" t="n">
        <x:v>0.22675</x:v>
      </x:c>
      <x:c r="D10" s="49" t="n">
        <x:v>0.05292171995589857</x:v>
      </x:c>
      <x:c r="E10" s="40" t="n">
        <x:v>7911596629.08</x:v>
      </x:c>
      <x:c r="F10" s="40" t="n">
        <x:v>1450006525.6921985</x:v>
      </x:c>
      <x:c r="G10" s="40" t="n">
        <x:v>3076732022.4200006</x:v>
      </x:c>
      <x:c r="H10" s="40" t="n">
        <x:v>317450000</x:v>
      </x:c>
      <x:c r="I10" s="40" t="n">
        <x:v>3067408080.9678006</x:v>
      </x:c>
    </x:row>
    <x:row r="11">
      <x:c r="A11" s="48" t="n">
        <x:v>0.08000000000000002</x:v>
      </x:c>
      <x:c r="B11" s="40" t="n">
        <x:v>1189</x:v>
      </x:c>
      <x:c r="C11" s="49" t="n">
        <x:v>0.29725</x:v>
      </x:c>
      <x:c r="D11" s="49" t="n">
        <x:v>0.05382674516400336</x:v>
      </x:c>
      <x:c r="E11" s="40" t="n">
        <x:v>10606415994.18</x:v>
      </x:c>
      <x:c r="F11" s="40" t="n">
        <x:v>2180653713.212997</x:v>
      </x:c>
      <x:c r="G11" s="40" t="n">
        <x:v>4124717331.0700006</x:v>
      </x:c>
      <x:c r="H11" s="40" t="n">
        <x:v>416150000</x:v>
      </x:c>
      <x:c r="I11" s="40" t="n">
        <x:v>3884894949.897002</x:v>
      </x:c>
    </x:row>
    <x:row r="12">
      <x:c r="A12" s="48" t="n">
        <x:v>0.09000000000000001</x:v>
      </x:c>
      <x:c r="B12" s="40" t="n">
        <x:v>1461</x:v>
      </x:c>
      <x:c r="C12" s="49" t="n">
        <x:v>0.36525</x:v>
      </x:c>
      <x:c r="D12" s="49" t="n">
        <x:v>0.05475701574264202</x:v>
      </x:c>
      <x:c r="E12" s="40" t="n">
        <x:v>13247704515.239998</x:v>
      </x:c>
      <x:c r="F12" s="40" t="n">
        <x:v>2991967319.189301</x:v>
      </x:c>
      <x:c r="G12" s="40" t="n">
        <x:v>5151885089.260001</x:v>
      </x:c>
      <x:c r="H12" s="40" t="n">
        <x:v>511350000</x:v>
      </x:c>
      <x:c r="I12" s="40" t="n">
        <x:v>4592502106.790696</x:v>
      </x:c>
    </x:row>
    <x:row r="13">
      <x:c r="A13" s="48" t="n">
        <x:v>0.1</x:v>
      </x:c>
      <x:c r="B13" s="40" t="n">
        <x:v>1701</x:v>
      </x:c>
      <x:c r="C13" s="49" t="n">
        <x:v>0.42525</x:v>
      </x:c>
      <x:c r="D13" s="49" t="n">
        <x:v>0.06290417401528513</x:v>
      </x:c>
      <x:c r="E13" s="40" t="n">
        <x:v>15789609886.5</x:v>
      </x:c>
      <x:c r="F13" s="40" t="n">
        <x:v>3862652399.690426</x:v>
      </x:c>
      <x:c r="G13" s="40" t="n">
        <x:v>6140403844.75</x:v>
      </x:c>
      <x:c r="H13" s="40" t="n">
        <x:v>595350000</x:v>
      </x:c>
      <x:c r="I13" s="40" t="n">
        <x:v>5191203642.059574</x:v>
      </x:c>
    </x:row>
    <x:row r="14">
      <x:c r="A14" s="48" t="n">
        <x:v>0.11000000000000001</x:v>
      </x:c>
      <x:c r="B14" s="40" t="n">
        <x:v>1940</x:v>
      </x:c>
      <x:c r="C14" s="49" t="n">
        <x:v>0.485</x:v>
      </x:c>
      <x:c r="D14" s="49" t="n">
        <x:v>0.07010309278350516</x:v>
      </x:c>
      <x:c r="E14" s="40" t="n">
        <x:v>18452553394.32</x:v>
      </x:c>
      <x:c r="F14" s="40" t="n">
        <x:v>4872207386.934889</x:v>
      </x:c>
      <x:c r="G14" s="40" t="n">
        <x:v>7175992986.68</x:v>
      </x:c>
      <x:c r="H14" s="40" t="n">
        <x:v>679000000</x:v>
      </x:c>
      <x:c r="I14" s="40" t="n">
        <x:v>5725353020.705111</x:v>
      </x:c>
    </x:row>
    <x:row r="15">
      <x:c r="A15" s="48" t="n">
        <x:v>0.12000000000000002</x:v>
      </x:c>
      <x:c r="B15" s="40" t="n">
        <x:v>2182</x:v>
      </x:c>
      <x:c r="C15" s="49" t="n">
        <x:v>0.5455</x:v>
      </x:c>
      <x:c r="D15" s="49" t="n">
        <x:v>0.07378551787351054</x:v>
      </x:c>
      <x:c r="E15" s="40" t="n">
        <x:v>21249239896.260002</x:v>
      </x:c>
      <x:c r="F15" s="40" t="n">
        <x:v>6037135360.740935</x:v>
      </x:c>
      <x:c r="G15" s="40" t="n">
        <x:v>8263593292.990002</x:v>
      </x:c>
      <x:c r="H15" s="40" t="n">
        <x:v>763700000</x:v>
      </x:c>
      <x:c r="I15" s="40" t="n">
        <x:v>6184811242.529064</x:v>
      </x:c>
    </x:row>
    <x:row r="16">
      <x:c r="A16" s="48" t="n">
        <x:v>0.13000000000000003</x:v>
      </x:c>
      <x:c r="B16" s="40" t="n">
        <x:v>2363</x:v>
      </x:c>
      <x:c r="C16" s="49" t="n">
        <x:v>0.59075</x:v>
      </x:c>
      <x:c r="D16" s="49" t="n">
        <x:v>0.0761743546339399</x:v>
      </x:c>
      <x:c r="E16" s="40" t="n">
        <x:v>23364634287.42</x:v>
      </x:c>
      <x:c r="F16" s="40" t="n">
        <x:v>6992021369.017844</x:v>
      </x:c>
      <x:c r="G16" s="40" t="n">
        <x:v>9086246667.330002</x:v>
      </x:c>
      <x:c r="H16" s="40" t="n">
        <x:v>827050000</x:v>
      </x:c>
      <x:c r="I16" s="40" t="n">
        <x:v>6459316251.072151</x:v>
      </x:c>
    </x:row>
    <x:row r="17">
      <x:c r="A17" s="48" t="n">
        <x:v>0.14</x:v>
      </x:c>
      <x:c r="B17" s="40" t="n">
        <x:v>2549</x:v>
      </x:c>
      <x:c r="C17" s="49" t="n">
        <x:v>0.63725</x:v>
      </x:c>
      <x:c r="D17" s="49" t="n">
        <x:v>0.08316987053746568</x:v>
      </x:c>
      <x:c r="E17" s="40" t="n">
        <x:v>25413426032.579998</x:v>
      </x:c>
      <x:c r="F17" s="40" t="n">
        <x:v>7989258740.027632</x:v>
      </x:c>
      <x:c r="G17" s="40" t="n">
        <x:v>9882999012.670002</x:v>
      </x:c>
      <x:c r="H17" s="40" t="n">
        <x:v>892150000</x:v>
      </x:c>
      <x:c r="I17" s="40" t="n">
        <x:v>6649018279.882366</x:v>
      </x:c>
    </x:row>
    <x:row r="18">
      <x:c r="A18" s="48" t="n">
        <x:v>0.15000000000000002</x:v>
      </x:c>
      <x:c r="B18" s="40" t="n">
        <x:v>2686</x:v>
      </x:c>
      <x:c r="C18" s="49" t="n">
        <x:v>0.6715</x:v>
      </x:c>
      <x:c r="D18" s="49" t="n">
        <x:v>0.08749069247952346</x:v>
      </x:c>
      <x:c r="E18" s="40" t="n">
        <x:v>27175996805.579998</x:v>
      </x:c>
      <x:c r="F18" s="40" t="n">
        <x:v>8911863264.68109</x:v>
      </x:c>
      <x:c r="G18" s="40" t="n">
        <x:v>10568443202.170002</x:v>
      </x:c>
      <x:c r="H18" s="40" t="n">
        <x:v>940100000</x:v>
      </x:c>
      <x:c r="I18" s="40" t="n">
        <x:v>6755590338.728909</x:v>
      </x:c>
    </x:row>
    <x:row r="19">
      <x:c r="A19" s="48" t="n">
        <x:v>0.16000000000000003</x:v>
      </x:c>
      <x:c r="B19" s="40" t="n">
        <x:v>2835</x:v>
      </x:c>
      <x:c r="C19" s="49" t="n">
        <x:v>0.70875</x:v>
      </x:c>
      <x:c r="D19" s="49" t="n">
        <x:v>0.09417989417989418</x:v>
      </x:c>
      <x:c r="E19" s="40" t="n">
        <x:v>29423152240.92</x:v>
      </x:c>
      <x:c r="F19" s="40" t="n">
        <x:v>10170600071.419645</x:v>
      </x:c>
      <x:c r="G19" s="40" t="n">
        <x:v>11442336982.580002</x:v>
      </x:c>
      <x:c r="H19" s="40" t="n">
        <x:v>992250000</x:v>
      </x:c>
      <x:c r="I19" s="40" t="n">
        <x:v>6817965186.920349</x:v>
      </x:c>
    </x:row>
    <x:row r="20">
      <x:c r="A20" s="48" t="n">
        <x:v>0.17000000000000004</x:v>
      </x:c>
      <x:c r="B20" s="40" t="n">
        <x:v>2990</x:v>
      </x:c>
      <x:c r="C20" s="49" t="n">
        <x:v>0.7475</x:v>
      </x:c>
      <x:c r="D20" s="49" t="n">
        <x:v>0.09866220735785954</x:v>
      </x:c>
      <x:c r="E20" s="40" t="n">
        <x:v>31585669006.499996</x:v>
      </x:c>
      <x:c r="F20" s="40" t="n">
        <x:v>11457682013.45699</x:v>
      </x:c>
      <x:c r="G20" s="40" t="n">
        <x:v>12283315724.75</x:v>
      </x:c>
      <x:c r="H20" s="40" t="n">
        <x:v>1046500000</x:v>
      </x:c>
      <x:c r="I20" s="40" t="n">
        <x:v>6798171268.293007</x:v>
      </x:c>
    </x:row>
    <x:row r="21">
      <x:c r="A21" s="48" t="n">
        <x:v>0.18000000000000002</x:v>
      </x:c>
      <x:c r="B21" s="40" t="n">
        <x:v>3111</x:v>
      </x:c>
      <x:c r="C21" s="49" t="n">
        <x:v>0.77775</x:v>
      </x:c>
      <x:c r="D21" s="49" t="n">
        <x:v>0.1018964963034394</x:v>
      </x:c>
      <x:c r="E21" s="40" t="n">
        <x:v>33265342677.96</x:v>
      </x:c>
      <x:c r="F21" s="40" t="n">
        <x:v>12518363495.203434</x:v>
      </x:c>
      <x:c r="G21" s="40" t="n">
        <x:v>12936522152.54</x:v>
      </x:c>
      <x:c r="H21" s="40" t="n">
        <x:v>1088850000</x:v>
      </x:c>
      <x:c r="I21" s="40" t="n">
        <x:v>6721607030.216564</x:v>
      </x:c>
    </x:row>
    <x:row r="22">
      <x:c r="A22" s="48" t="n">
        <x:v>0.19000000000000003</x:v>
      </x:c>
      <x:c r="B22" s="40" t="n">
        <x:v>3226</x:v>
      </x:c>
      <x:c r="C22" s="49" t="n">
        <x:v>0.8065</x:v>
      </x:c>
      <x:c r="D22" s="49" t="n">
        <x:v>0.10353378797272164</x:v>
      </x:c>
      <x:c r="E22" s="40" t="n">
        <x:v>35095550725.8</x:v>
      </x:c>
      <x:c r="F22" s="40" t="n">
        <x:v>13739083834.667957</x:v>
      </x:c>
      <x:c r="G22" s="40" t="n">
        <x:v>13648269726.7</x:v>
      </x:c>
      <x:c r="H22" s="40" t="n">
        <x:v>1129100000</x:v>
      </x:c>
      <x:c r="I22" s="40" t="n">
        <x:v>6579097164.432045</x:v>
      </x:c>
    </x:row>
    <x:row r="23">
      <x:c r="A23" s="48" t="n">
        <x:v>0.20000000000000004</x:v>
      </x:c>
      <x:c r="B23" s="40" t="n">
        <x:v>3317</x:v>
      </x:c>
      <x:c r="C23" s="49" t="n">
        <x:v>0.82925</x:v>
      </x:c>
      <x:c r="D23" s="49" t="n">
        <x:v>0.10491407898703647</x:v>
      </x:c>
      <x:c r="E23" s="40" t="n">
        <x:v>36394123763.7</x:v>
      </x:c>
      <x:c r="F23" s="40" t="n">
        <x:v>14653663736.811342</x:v>
      </x:c>
      <x:c r="G23" s="40" t="n">
        <x:v>14153270352.550001</x:v>
      </x:c>
      <x:c r="H23" s="40" t="n">
        <x:v>1160950000</x:v>
      </x:c>
      <x:c r="I23" s="40" t="n">
        <x:v>6426239674.338655</x:v>
      </x:c>
    </x:row>
    <x:row r="24">
      <x:c r="A24" s="48" t="n">
        <x:v>0.21000000000000005</x:v>
      </x:c>
      <x:c r="B24" s="40" t="n">
        <x:v>3409</x:v>
      </x:c>
      <x:c r="C24" s="49" t="n">
        <x:v>0.85225</x:v>
      </x:c>
      <x:c r="D24" s="49" t="n">
        <x:v>0.10765620416544441</x:v>
      </x:c>
      <x:c r="E24" s="40" t="n">
        <x:v>37915880798.87999</x:v>
      </x:c>
      <x:c r="F24" s="40" t="n">
        <x:v>15780034116.72629</x:v>
      </x:c>
      <x:c r="G24" s="40" t="n">
        <x:v>14745064755.120003</x:v>
      </x:c>
      <x:c r="H24" s="40" t="n">
        <x:v>1193150000</x:v>
      </x:c>
      <x:c r="I24" s="40" t="n">
        <x:v>6197631927.033699</x:v>
      </x:c>
    </x:row>
    <x:row r="25">
      <x:c r="A25" s="48" t="n">
        <x:v>0.22000000000000006</x:v>
      </x:c>
      <x:c r="B25" s="40" t="n">
        <x:v>3475</x:v>
      </x:c>
      <x:c r="C25" s="49" t="n">
        <x:v>0.86875</x:v>
      </x:c>
      <x:c r="D25" s="49" t="n">
        <x:v>0.10848920863309353</x:v>
      </x:c>
      <x:c r="E25" s="40" t="n">
        <x:v>38862393332.03999</x:v>
      </x:c>
      <x:c r="F25" s="40" t="n">
        <x:v>16515940746.196033</x:v>
      </x:c>
      <x:c r="G25" s="40" t="n">
        <x:v>15113152962.460001</x:v>
      </x:c>
      <x:c r="H25" s="40" t="n">
        <x:v>1216250000</x:v>
      </x:c>
      <x:c r="I25" s="40" t="n">
        <x:v>6017049623.383959</x:v>
      </x:c>
    </x:row>
    <x:row r="26">
      <x:c r="A26" s="48" t="n">
        <x:v>0.23000000000000004</x:v>
      </x:c>
      <x:c r="B26" s="40" t="n">
        <x:v>3553</x:v>
      </x:c>
      <x:c r="C26" s="49" t="n">
        <x:v>0.88825</x:v>
      </x:c>
      <x:c r="D26" s="49" t="n">
        <x:v>0.11061075147762454</x:v>
      </x:c>
      <x:c r="E26" s="40" t="n">
        <x:v>40076194457.52</x:v>
      </x:c>
      <x:c r="F26" s="40" t="n">
        <x:v>17499972962.575596</x:v>
      </x:c>
      <x:c r="G26" s="40" t="n">
        <x:v>15585186733.48</x:v>
      </x:c>
      <x:c r="H26" s="40" t="n">
        <x:v>1243550000</x:v>
      </x:c>
      <x:c r="I26" s="40" t="n">
        <x:v>5747484761.464401</x:v>
      </x:c>
    </x:row>
    <x:row r="27">
      <x:c r="A27" s="48" t="n">
        <x:v>0.24000000000000005</x:v>
      </x:c>
      <x:c r="B27" s="40" t="n">
        <x:v>3595</x:v>
      </x:c>
      <x:c r="C27" s="49" t="n">
        <x:v>0.89875</x:v>
      </x:c>
      <x:c r="D27" s="49" t="n">
        <x:v>0.1109874826147427</x:v>
      </x:c>
      <x:c r="E27" s="40" t="n">
        <x:v>40841742724.02</x:v>
      </x:c>
      <x:c r="F27" s="40" t="n">
        <x:v>18152927876.63733</x:v>
      </x:c>
      <x:c r="G27" s="40" t="n">
        <x:v>15882899948.230001</x:v>
      </x:c>
      <x:c r="H27" s="40" t="n">
        <x:v>1258250000</x:v>
      </x:c>
      <x:c r="I27" s="40" t="n">
        <x:v>5547664899.152666</x:v>
      </x:c>
    </x:row>
    <x:row r="28">
      <x:c r="A28" s="50" t="n">
        <x:v>0.25000000000000006</x:v>
      </x:c>
      <x:c r="B28" s="42" t="n">
        <x:v>3647</x:v>
      </x:c>
      <x:c r="C28" s="51" t="n">
        <x:v>0.91175</x:v>
      </x:c>
      <x:c r="D28" s="51" t="n">
        <x:v>0.11324376199616124</x:v>
      </x:c>
      <x:c r="E28" s="42" t="n">
        <x:v>41586688373.4</x:v>
      </x:c>
      <x:c r="F28" s="42" t="n">
        <x:v>18811769842.373116</x:v>
      </x:c>
      <x:c r="G28" s="42" t="n">
        <x:v>16172601034.100002</x:v>
      </x:c>
      <x:c r="H28" s="42" t="n">
        <x:v>1276450000</x:v>
      </x:c>
      <x:c r="I28" s="42" t="n">
        <x:v>5325867496.926884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9.329999923706055" hidden="0" customWidth="1"/>
    <x:col min="3" max="3" width="13.5600004196167" hidden="0" customWidth="1"/>
    <x:col min="4" max="4" width="6.78000020980835" hidden="0" customWidth="1"/>
    <x:col min="5" max="5" width="10" hidden="0" customWidth="1"/>
    <x:col min="6" max="6" width="8.670000076293945" hidden="0" customWidth="1"/>
  </x:cols>
  <x:sheetData>
    <x:row r="2">
      <x:c r="A2" s="29" t="str">
        <x:v>Production Monitoring</x:v>
      </x:c>
      <x:c r="B2" s="30"/>
      <x:c r="C2" s="30"/>
      <x:c r="D2" s="30"/>
      <x:c r="E2" s="30"/>
      <x:c r="F2" s="30"/>
    </x:row>
    <x:row r="3">
      <x:c r="A3" s="31" t="str">
        <x:v>Monthly outcome, calibration and approval monitoring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Month</x:v>
      </x:c>
      <x:c r="B6" s="9" t="str">
        <x:v>Applications</x:v>
      </x:c>
      <x:c r="C6" s="9" t="str">
        <x:v>Observed bad rate</x:v>
      </x:c>
      <x:c r="D6" s="9" t="str">
        <x:v>Mean PD</x:v>
      </x:c>
      <x:c r="E6" s="9" t="str">
        <x:v>Approval rate</x:v>
      </x:c>
      <x:c r="F6" s="9" t="str">
        <x:v>Mean score</x:v>
      </x:c>
    </x:row>
    <x:row r="7">
      <x:c r="A7" s="34" t="str">
        <x:v>2025-01</x:v>
      </x:c>
      <x:c r="B7" s="40" t="n">
        <x:v>744</x:v>
      </x:c>
      <x:c r="C7" s="35" t="n">
        <x:v>0.15591397849462366</x:v>
      </x:c>
      <x:c r="D7" s="35" t="n">
        <x:v>0.1496212240727713</x:v>
      </x:c>
      <x:c r="E7" s="35" t="n">
        <x:v>0.2446236559139785</x:v>
      </x:c>
      <x:c r="F7" s="41" t="n">
        <x:v>521.6693548387096</x:v>
      </x:c>
    </x:row>
    <x:row r="8">
      <x:c r="A8" s="34" t="str">
        <x:v>2025-02</x:v>
      </x:c>
      <x:c r="B8" s="40" t="n">
        <x:v>672</x:v>
      </x:c>
      <x:c r="C8" s="35" t="n">
        <x:v>0.14285714285714285</x:v>
      </x:c>
      <x:c r="D8" s="35" t="n">
        <x:v>0.14093378599997403</x:v>
      </x:c>
      <x:c r="E8" s="35" t="n">
        <x:v>0.23958333333333334</x:v>
      </x:c>
      <x:c r="F8" s="41" t="n">
        <x:v>526.4151785714286</x:v>
      </x:c>
    </x:row>
    <x:row r="9">
      <x:c r="A9" s="34" t="str">
        <x:v>2025-03</x:v>
      </x:c>
      <x:c r="B9" s="40" t="n">
        <x:v>744</x:v>
      </x:c>
      <x:c r="C9" s="35" t="n">
        <x:v>0.17473118279569894</x:v>
      </x:c>
      <x:c r="D9" s="35" t="n">
        <x:v>0.14452364850070898</x:v>
      </x:c>
      <x:c r="E9" s="35" t="n">
        <x:v>0.21774193548387097</x:v>
      </x:c>
      <x:c r="F9" s="41" t="n">
        <x:v>523.7271505376344</x:v>
      </x:c>
    </x:row>
    <x:row r="10">
      <x:c r="A10" s="34" t="str">
        <x:v>2025-04</x:v>
      </x:c>
      <x:c r="B10" s="40" t="n">
        <x:v>720</x:v>
      </x:c>
      <x:c r="C10" s="35" t="n">
        <x:v>0.15</x:v>
      </x:c>
      <x:c r="D10" s="35" t="n">
        <x:v>0.15065500603717435</x:v>
      </x:c>
      <x:c r="E10" s="35" t="n">
        <x:v>0.2263888888888889</x:v>
      </x:c>
      <x:c r="F10" s="41" t="n">
        <x:v>521.0388888888889</x:v>
      </x:c>
    </x:row>
    <x:row r="11">
      <x:c r="A11" s="36" t="str">
        <x:v>2025-05</x:v>
      </x:c>
      <x:c r="B11" s="42" t="n">
        <x:v>120</x:v>
      </x:c>
      <x:c r="C11" s="37" t="n">
        <x:v>0.16666666666666666</x:v>
      </x:c>
      <x:c r="D11" s="37" t="n">
        <x:v>0.14067741962132146</x:v>
      </x:c>
      <x:c r="E11" s="37" t="n">
        <x:v>0.275</x:v>
      </x:c>
      <x:c r="F11" s="43" t="n">
        <x:v>528.1416666666667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7.21999979019165" hidden="0" customWidth="1"/>
    <x:col min="3" max="3" width="15.779999732971191" hidden="0" customWidth="1"/>
    <x:col min="4" max="4" width="15.4399995803833" hidden="0" customWidth="1"/>
    <x:col min="5" max="5" width="7.78000020980835" hidden="0" customWidth="1"/>
    <x:col min="6" max="6" width="11.670000076293945" hidden="0" customWidth="1"/>
  </x:cols>
  <x:sheetData>
    <x:row r="2">
      <x:c r="A2" s="29" t="str">
        <x:v>Behavioural Early Warning</x:v>
      </x:c>
      <x:c r="B2" s="30"/>
      <x:c r="C2" s="30"/>
      <x:c r="D2" s="30"/>
      <x:c r="E2" s="30"/>
      <x:c r="F2" s="30"/>
    </x:row>
    <x:row r="3">
      <x:c r="A3" s="31" t="str">
        <x:v>Account risk status based on payment, utilisation, delinquency, cash flow and bureau signals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EWS status</x:v>
      </x:c>
      <x:c r="B6" s="9" t="str">
        <x:v>Accounts</x:v>
      </x:c>
      <x:c r="C6" s="9" t="str">
        <x:v>Observed default rate</x:v>
      </x:c>
      <x:c r="D6" s="9" t="str">
        <x:v>Mean behavioural PD</x:v>
      </x:c>
      <x:c r="E6" s="9" t="str">
        <x:v>Mean DPD</x:v>
      </x:c>
      <x:c r="F6" s="9" t="str">
        <x:v>Mean utilisation</x:v>
      </x:c>
    </x:row>
    <x:row r="7">
      <x:c r="A7" s="34" t="str">
        <x:v>AMBER</x:v>
      </x:c>
      <x:c r="B7" s="40" t="n">
        <x:v>195</x:v>
      </x:c>
      <x:c r="C7" s="35" t="n">
        <x:v>0.10256410256410256</x:v>
      </x:c>
      <x:c r="D7" s="35" t="n">
        <x:v>0.10827335537299274</x:v>
      </x:c>
      <x:c r="E7" s="44" t="n">
        <x:v>30</x:v>
      </x:c>
      <x:c r="F7" s="35" t="n">
        <x:v>0.43705860687428877</x:v>
      </x:c>
    </x:row>
    <x:row r="8">
      <x:c r="A8" s="34" t="str">
        <x:v>GREEN</x:v>
      </x:c>
      <x:c r="B8" s="40" t="n">
        <x:v>2027</x:v>
      </x:c>
      <x:c r="C8" s="35" t="n">
        <x:v>0.01480019733596448</x:v>
      </x:c>
      <x:c r="D8" s="35" t="n">
        <x:v>0.016155981037262703</x:v>
      </x:c>
      <x:c r="E8" s="44" t="n">
        <x:v>2.493339911198816</x:v>
      </x:c>
      <x:c r="F8" s="35" t="n">
        <x:v>0.46459637719579744</x:v>
      </x:c>
    </x:row>
    <x:row r="9">
      <x:c r="A9" s="36" t="str">
        <x:v>RED</x:v>
      </x:c>
      <x:c r="B9" s="42" t="n">
        <x:v>278</x:v>
      </x:c>
      <x:c r="C9" s="37" t="n">
        <x:v>0.3669064748201439</x:v>
      </x:c>
      <x:c r="D9" s="37" t="n">
        <x:v>0.3366011329832885</x:v>
      </x:c>
      <x:c r="E9" s="45" t="n">
        <x:v>72.19424460431655</x:v>
      </x:c>
      <x:c r="F9" s="37" t="n">
        <x:v>0.4515879478385868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4" hidden="0" customWidth="1"/>
    <x:col min="4" max="4" width="38" hidden="0" customWidth="1"/>
  </x:cols>
  <x:sheetData>
    <x:row r="2">
      <x:c r="A2" s="29" t="str">
        <x:v>Model Governance Workflow</x:v>
      </x:c>
      <x:c r="B2" s="30"/>
      <x:c r="C2" s="30"/>
      <x:c r="D2" s="30"/>
    </x:row>
    <x:row r="3">
      <x:c r="A3" s="31" t="str">
        <x:v>Development, independent challenge, approval, release and monitoring accountability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Stage</x:v>
      </x:c>
      <x:c r="B6" s="9" t="str">
        <x:v>Owner</x:v>
      </x:c>
      <x:c r="C6" s="9" t="str">
        <x:v>Status</x:v>
      </x:c>
      <x:c r="D6" s="9" t="str">
        <x:v>Required evidence</x:v>
      </x:c>
    </x:row>
    <x:row r="7">
      <x:c r="A7" s="34" t="str">
        <x:v>1. Business request</x:v>
      </x:c>
      <x:c r="B7" s="34" t="str">
        <x:v>Retail Risk</x:v>
      </x:c>
      <x:c r="C7" s="34" t="str">
        <x:v>COMPLETE</x:v>
      </x:c>
      <x:c r="D7" s="34" t="str">
        <x:v>Use case, target and risk appetite</x:v>
      </x:c>
    </x:row>
    <x:row r="8">
      <x:c r="A8" s="34" t="str">
        <x:v>2. Data approval</x:v>
      </x:c>
      <x:c r="B8" s="34" t="str">
        <x:v>Data Governance</x:v>
      </x:c>
      <x:c r="C8" s="34" t="str">
        <x:v>COMPLETE</x:v>
      </x:c>
      <x:c r="D8" s="34" t="str">
        <x:v>Data dictionary and synthetic lineage</x:v>
      </x:c>
    </x:row>
    <x:row r="9">
      <x:c r="A9" s="34" t="str">
        <x:v>3. Development</x:v>
      </x:c>
      <x:c r="B9" s="34" t="str">
        <x:v>Model Development</x:v>
      </x:c>
      <x:c r="C9" s="34" t="str">
        <x:v>COMPLETE</x:v>
      </x:c>
      <x:c r="D9" s="34" t="str">
        <x:v>WOE scorecard and reject inference</x:v>
      </x:c>
    </x:row>
    <x:row r="10">
      <x:c r="A10" s="34" t="str">
        <x:v>4. Independent validation</x:v>
      </x:c>
      <x:c r="B10" s="34" t="str">
        <x:v>Model Risk</x:v>
      </x:c>
      <x:c r="C10" s="34" t="str">
        <x:v>COMPLETE</x:v>
      </x:c>
      <x:c r="D10" s="34" t="str">
        <x:v>Discrimination, calibration, stability, fairness</x:v>
      </x:c>
    </x:row>
    <x:row r="11">
      <x:c r="A11" s="34" t="str">
        <x:v>5. UAT</x:v>
      </x:c>
      <x:c r="B11" s="34" t="str">
        <x:v>Credit Operations</x:v>
      </x:c>
      <x:c r="C11" s="34" t="str">
        <x:v>READY</x:v>
      </x:c>
      <x:c r="D11" s="34" t="str">
        <x:v>API, reason codes and policy tests</x:v>
      </x:c>
    </x:row>
    <x:row r="12">
      <x:c r="A12" s="34" t="str">
        <x:v>6. Committee approval</x:v>
      </x:c>
      <x:c r="B12" s="34" t="str">
        <x:v>Model Risk Committee</x:v>
      </x:c>
      <x:c r="C12" s="34" t="str">
        <x:v>PENDING</x:v>
      </x:c>
      <x:c r="D12" s="34" t="str">
        <x:v>Approval memo and conditions</x:v>
      </x:c>
    </x:row>
    <x:row r="13">
      <x:c r="A13" s="34" t="str">
        <x:v>7. Production release</x:v>
      </x:c>
      <x:c r="B13" s="34" t="str">
        <x:v>Technology</x:v>
      </x:c>
      <x:c r="C13" s="34" t="str">
        <x:v>PENDING</x:v>
      </x:c>
      <x:c r="D13" s="34" t="str">
        <x:v>Release and rollback record</x:v>
      </x:c>
    </x:row>
    <x:row r="14">
      <x:c r="A14" s="36" t="str">
        <x:v>8. Monitoring</x:v>
      </x:c>
      <x:c r="B14" s="36" t="str">
        <x:v>Model Owner</x:v>
      </x:c>
      <x:c r="C14" s="36" t="str">
        <x:v>READY</x:v>
      </x:c>
      <x:c r="D14" s="36" t="str">
        <x:v>Monthly thresholds and actions</x:v>
      </x:c>
    </x:row>
  </x:sheetData>
  <x:mergeCells>
    <x:mergeCell ref="A2:D2"/>
    <x:mergeCell ref="A3:D3"/>
  </x:mergeCells>
  <x:conditionalFormatting sqref="C7:C14">
    <x:cfRule type="containsText" dxfId="3" priority="1" operator="containsText" text="PENDING"/>
    <x:cfRule type="containsText" dxfId="4" priority="2" operator="containsText" text="COMPLETE"/>
  </x:conditionalFormatting>
  <x:pageMargins left="0.7" right="0.7" top="0.75" bottom="0.75" header="0.3" footer="0.3"/>
</x:worksheet>
</file>