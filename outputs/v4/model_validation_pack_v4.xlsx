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a0b181db3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6c4598b56b994859"/>
    <x:sheet xmlns:r="http://schemas.openxmlformats.org/officeDocument/2006/relationships" name="Model Comparison" sheetId="2" r:id="Rd6cf25509d8d420c"/>
    <x:sheet xmlns:r="http://schemas.openxmlformats.org/officeDocument/2006/relationships" name="Time Validation" sheetId="3" r:id="R6409b350427d40c3"/>
    <x:sheet xmlns:r="http://schemas.openxmlformats.org/officeDocument/2006/relationships" name="Calibration" sheetId="4" r:id="R7596c109fd714220"/>
    <x:sheet xmlns:r="http://schemas.openxmlformats.org/officeDocument/2006/relationships" name="Monotonic WOE" sheetId="5" r:id="Rcc1d0d4bcb0f4c82"/>
    <x:sheet xmlns:r="http://schemas.openxmlformats.org/officeDocument/2006/relationships" name="Reject Inference" sheetId="6" r:id="R001f3590c9d7416a"/>
    <x:sheet xmlns:r="http://schemas.openxmlformats.org/officeDocument/2006/relationships" name="Fairness" sheetId="7" r:id="R7b3dbb9f8c43423f"/>
    <x:sheet xmlns:r="http://schemas.openxmlformats.org/officeDocument/2006/relationships" name="Cut-off Strategy" sheetId="8" r:id="R5fb0f98a47a94bbb"/>
    <x:sheet xmlns:r="http://schemas.openxmlformats.org/officeDocument/2006/relationships" name="Pricing and Limits" sheetId="9" r:id="R65fae27615f248e5"/>
    <x:sheet xmlns:r="http://schemas.openxmlformats.org/officeDocument/2006/relationships" name="Vintage" sheetId="10" r:id="R882e7bb3c4054311"/>
    <x:sheet xmlns:r="http://schemas.openxmlformats.org/officeDocument/2006/relationships" name="Monitoring" sheetId="11" r:id="R630b1caca4bc426a"/>
    <x:sheet xmlns:r="http://schemas.openxmlformats.org/officeDocument/2006/relationships" name="Behavioural EWS" sheetId="12" r:id="R3c5faa4cf2584a1d"/>
    <x:sheet xmlns:r="http://schemas.openxmlformats.org/officeDocument/2006/relationships" name="Overrides" sheetId="13" r:id="R1a66e756135245f9"/>
    <x:sheet xmlns:r="http://schemas.openxmlformats.org/officeDocument/2006/relationships" name="Model Registry" sheetId="14" r:id="Rf38c6a9123ad4e4f"/>
    <x:sheet xmlns:r="http://schemas.openxmlformats.org/officeDocument/2006/relationships" name="Governance" sheetId="15" r:id="R2a5b1c32d7a5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</x:numFmts>
  <x:fonts count="6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554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9f14186574530" /><Relationship Type="http://schemas.openxmlformats.org/officeDocument/2006/relationships/theme" Target="/xl/theme/theme1.xml" Id="R21684df1c72a4689" /><Relationship Type="http://schemas.openxmlformats.org/officeDocument/2006/relationships/sharedStrings" Target="/xl/sharedStrings.xml" Id="R322b87d9d17b46b3" /><Relationship Type="http://schemas.openxmlformats.org/officeDocument/2006/relationships/worksheet" Target="/xl/worksheets/sheet1.xml" Id="R6c4598b56b994859" /><Relationship Type="http://schemas.openxmlformats.org/officeDocument/2006/relationships/worksheet" Target="/xl/worksheets/sheet2.xml" Id="Rd6cf25509d8d420c" /><Relationship Type="http://schemas.openxmlformats.org/officeDocument/2006/relationships/worksheet" Target="/xl/worksheets/sheet3.xml" Id="R6409b350427d40c3" /><Relationship Type="http://schemas.openxmlformats.org/officeDocument/2006/relationships/worksheet" Target="/xl/worksheets/sheet4.xml" Id="R7596c109fd714220" /><Relationship Type="http://schemas.openxmlformats.org/officeDocument/2006/relationships/worksheet" Target="/xl/worksheets/sheet5.xml" Id="Rcc1d0d4bcb0f4c82" /><Relationship Type="http://schemas.openxmlformats.org/officeDocument/2006/relationships/worksheet" Target="/xl/worksheets/sheet6.xml" Id="R001f3590c9d7416a" /><Relationship Type="http://schemas.openxmlformats.org/officeDocument/2006/relationships/worksheet" Target="/xl/worksheets/sheet7.xml" Id="R7b3dbb9f8c43423f" /><Relationship Type="http://schemas.openxmlformats.org/officeDocument/2006/relationships/worksheet" Target="/xl/worksheets/sheet8.xml" Id="R5fb0f98a47a94bbb" /><Relationship Type="http://schemas.openxmlformats.org/officeDocument/2006/relationships/worksheet" Target="/xl/worksheets/sheet9.xml" Id="R65fae27615f248e5" /><Relationship Type="http://schemas.openxmlformats.org/officeDocument/2006/relationships/worksheet" Target="/xl/worksheets/sheet10.xml" Id="R882e7bb3c4054311" /><Relationship Type="http://schemas.openxmlformats.org/officeDocument/2006/relationships/worksheet" Target="/xl/worksheets/sheet11.xml" Id="R630b1caca4bc426a" /><Relationship Type="http://schemas.openxmlformats.org/officeDocument/2006/relationships/worksheet" Target="/xl/worksheets/sheet12.xml" Id="R3c5faa4cf2584a1d" /><Relationship Type="http://schemas.openxmlformats.org/officeDocument/2006/relationships/worksheet" Target="/xl/worksheets/sheet13.xml" Id="R1a66e756135245f9" /><Relationship Type="http://schemas.openxmlformats.org/officeDocument/2006/relationships/worksheet" Target="/xl/worksheets/sheet14.xml" Id="Rf38c6a9123ad4e4f" /><Relationship Type="http://schemas.openxmlformats.org/officeDocument/2006/relationships/worksheet" Target="/xl/worksheets/sheet15.xml" Id="R2a5b1c32d7a54d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2f692c634442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2f692c634442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a1c65a97a1649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monotonic WOE scorecard | time-based validation | synthetic portfolio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(0.006979999999999999, 0.0486]</x:v>
      </x:c>
      <x:c r="B7" s="40" t="n">
        <x:v>400</x:v>
      </x:c>
      <x:c r="C7" s="35" t="n">
        <x:v>0.04</x:v>
      </x:c>
      <x:c r="D7" s="35" t="n">
        <x:v>0.03680268917701524</x:v>
      </x:c>
      <x:c r="E7" s="42" t="n">
        <x:v>622.185</x:v>
      </x:c>
    </x:row>
    <x:row r="8">
      <x:c r="A8" s="34" t="str">
        <x:v>(0.0486, 0.0664]</x:v>
      </x:c>
      <x:c r="B8" s="40" t="n">
        <x:v>400</x:v>
      </x:c>
      <x:c r="C8" s="35" t="n">
        <x:v>0.0625</x:v>
      </x:c>
      <x:c r="D8" s="35" t="n">
        <x:v>0.05787485968187445</x:v>
      </x:c>
      <x:c r="E8" s="42" t="n">
        <x:v>585.435</x:v>
      </x:c>
    </x:row>
    <x:row r="9">
      <x:c r="A9" s="34" t="str">
        <x:v>(0.0664, 0.0803]</x:v>
      </x:c>
      <x:c r="B9" s="40" t="n">
        <x:v>400</x:v>
      </x:c>
      <x:c r="C9" s="35" t="n">
        <x:v>0.06</x:v>
      </x:c>
      <x:c r="D9" s="35" t="n">
        <x:v>0.07327222739011949</x:v>
      </x:c>
      <x:c r="E9" s="42" t="n">
        <x:v>567.055</x:v>
      </x:c>
    </x:row>
    <x:row r="10">
      <x:c r="A10" s="34" t="str">
        <x:v>(0.0803, 0.0958]</x:v>
      </x:c>
      <x:c r="B10" s="40" t="n">
        <x:v>400</x:v>
      </x:c>
      <x:c r="C10" s="35" t="n">
        <x:v>0.0875</x:v>
      </x:c>
      <x:c r="D10" s="35" t="n">
        <x:v>0.08777972274164864</x:v>
      </x:c>
      <x:c r="E10" s="42" t="n">
        <x:v>552.8475</x:v>
      </x:c>
    </x:row>
    <x:row r="11">
      <x:c r="A11" s="34" t="str">
        <x:v>(0.0958, 0.113]</x:v>
      </x:c>
      <x:c r="B11" s="40" t="n">
        <x:v>400</x:v>
      </x:c>
      <x:c r="C11" s="35" t="n">
        <x:v>0.1</x:v>
      </x:c>
      <x:c r="D11" s="35" t="n">
        <x:v>0.10409908773607932</x:v>
      </x:c>
      <x:c r="E11" s="42" t="n">
        <x:v>539.2375</x:v>
      </x:c>
    </x:row>
    <x:row r="12">
      <x:c r="A12" s="34" t="str">
        <x:v>(0.113, 0.132]</x:v>
      </x:c>
      <x:c r="B12" s="40" t="n">
        <x:v>400</x:v>
      </x:c>
      <x:c r="C12" s="35" t="n">
        <x:v>0.1175</x:v>
      </x:c>
      <x:c r="D12" s="35" t="n">
        <x:v>0.12158463252129591</x:v>
      </x:c>
      <x:c r="E12" s="42" t="n">
        <x:v>526.6275</x:v>
      </x:c>
    </x:row>
    <x:row r="13">
      <x:c r="A13" s="34" t="str">
        <x:v>(0.132, 0.158]</x:v>
      </x:c>
      <x:c r="B13" s="40" t="n">
        <x:v>400</x:v>
      </x:c>
      <x:c r="C13" s="35" t="n">
        <x:v>0.175</x:v>
      </x:c>
      <x:c r="D13" s="35" t="n">
        <x:v>0.14410932091425016</x:v>
      </x:c>
      <x:c r="E13" s="42" t="n">
        <x:v>512.495</x:v>
      </x:c>
    </x:row>
    <x:row r="14">
      <x:c r="A14" s="34" t="str">
        <x:v>(0.158, 0.187]</x:v>
      </x:c>
      <x:c r="B14" s="40" t="n">
        <x:v>400</x:v>
      </x:c>
      <x:c r="C14" s="35" t="n">
        <x:v>0.19</x:v>
      </x:c>
      <x:c r="D14" s="35" t="n">
        <x:v>0.17145485048592754</x:v>
      </x:c>
      <x:c r="E14" s="42" t="n">
        <x:v>497.6075</x:v>
      </x:c>
    </x:row>
    <x:row r="15">
      <x:c r="A15" s="34" t="str">
        <x:v>(0.187, 0.241]</x:v>
      </x:c>
      <x:c r="B15" s="40" t="n">
        <x:v>400</x:v>
      </x:c>
      <x:c r="C15" s="35" t="n">
        <x:v>0.165</x:v>
      </x:c>
      <x:c r="D15" s="35" t="n">
        <x:v>0.2109265378552613</x:v>
      </x:c>
      <x:c r="E15" s="42" t="n">
        <x:v>479.265</x:v>
      </x:c>
    </x:row>
    <x:row r="16">
      <x:c r="A16" s="36" t="str">
        <x:v>(0.241, 0.86]</x:v>
      </x:c>
      <x:c r="B16" s="41" t="n">
        <x:v>400</x:v>
      </x:c>
      <x:c r="C16" s="37" t="n">
        <x:v>0.345</x:v>
      </x:c>
      <x:c r="D16" s="37" t="n">
        <x:v>0.3264968074929338</x:v>
      </x:c>
      <x:c r="E16" s="43" t="n">
        <x:v>437.4425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2a1c65a97a1649ad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0.6726936687977345</x:v>
      </x:c>
      <x:c r="C7" s="38" t="n">
        <x:v>0.345387337595469</x:v>
      </x:c>
      <x:c r="D7" s="38" t="n">
        <x:v>0.25397511656882465</x:v>
      </x:c>
      <x:c r="E7" s="38" t="n">
        <x:v>0.11065591177023448</x:v>
      </x:c>
      <x:c r="F7" s="35" t="n">
        <x:v>0.13325037417831714</x:v>
      </x:c>
      <x:c r="G7" s="35" t="n">
        <x:v>0.13425</x:v>
      </x:c>
    </x:row>
    <x:row r="8">
      <x:c r="A8" s="34" t="str">
        <x:v>Accepted-only</x:v>
      </x:c>
      <x:c r="B8" s="38" t="n">
        <x:v>0.6678284562905221</x:v>
      </x:c>
      <x:c r="C8" s="38" t="n">
        <x:v>0.33565691258104424</x:v>
      </x:c>
      <x:c r="D8" s="38" t="n">
        <x:v>0.23629096309966868</x:v>
      </x:c>
      <x:c r="E8" s="38" t="n">
        <x:v>0.11106605334262318</x:v>
      </x:c>
      <x:c r="F8" s="35" t="n">
        <x:v>0.12614100809866433</x:v>
      </x:c>
      <x:c r="G8" s="35" t="n">
        <x:v>0.13425</x:v>
      </x:c>
    </x:row>
    <x:row r="9">
      <x:c r="A9" s="36" t="str">
        <x:v>Fuzzy augmentation</x:v>
      </x:c>
      <x:c r="B9" s="39" t="n">
        <x:v>0.6767307600271237</x:v>
      </x:c>
      <x:c r="C9" s="39" t="n">
        <x:v>0.35346152005424747</x:v>
      </x:c>
      <x:c r="D9" s="39" t="n">
        <x:v>0.2622563293470586</x:v>
      </x:c>
      <x:c r="E9" s="39" t="n">
        <x:v>0.11037052394771052</x:v>
      </x:c>
      <x:c r="F9" s="37" t="n">
        <x:v>0.1268843596382893</x:v>
      </x:c>
      <x:c r="G9" s="37" t="n">
        <x:v>0.13425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Group</x:v>
      </x:c>
      <x:c r="B6" s="9" t="str">
        <x:v>Applications</x:v>
      </x:c>
      <x:c r="C6" s="9" t="str">
        <x:v>Approval rate</x:v>
      </x:c>
      <x:c r="D6" s="9" t="str">
        <x:v>Bad rate</x:v>
      </x:c>
      <x:c r="E6" s="9" t="str">
        <x:v>Mean PD</x:v>
      </x:c>
      <x:c r="F6" s="9" t="str">
        <x:v>DI ratio</x:v>
      </x:c>
      <x:c r="G6" s="9" t="str">
        <x:v>Dimension</x:v>
      </x:c>
    </x:row>
    <x:row r="7">
      <x:c r="A7" s="34" t="str">
        <x:v>20-25</x:v>
      </x:c>
      <x:c r="B7" s="40" t="n">
        <x:v>624</x:v>
      </x:c>
      <x:c r="C7" s="35" t="n">
        <x:v>0.28846153846153844</x:v>
      </x:c>
      <x:c r="D7" s="35" t="n">
        <x:v>0.1266025641025641</x:v>
      </x:c>
      <x:c r="E7" s="35" t="n">
        <x:v>0.13786725605270042</x:v>
      </x:c>
      <x:c r="F7" s="46" t="n">
        <x:v>0.9342709529276693</x:v>
      </x:c>
      <x:c r="G7" s="34" t="str">
        <x:v>age_band</x:v>
      </x:c>
    </x:row>
    <x:row r="8">
      <x:c r="A8" s="34" t="str">
        <x:v>26-35</x:v>
      </x:c>
      <x:c r="B8" s="40" t="n">
        <x:v>1501</x:v>
      </x:c>
      <x:c r="C8" s="35" t="n">
        <x:v>0.2678214523650899</x:v>
      </x:c>
      <x:c r="D8" s="35" t="n">
        <x:v>0.13391072618254496</x:v>
      </x:c>
      <x:c r="E8" s="35" t="n">
        <x:v>0.13447655294535604</x:v>
      </x:c>
      <x:c r="F8" s="46" t="n">
        <x:v>0.8674217188540972</x:v>
      </x:c>
      <x:c r="G8" s="34" t="str">
        <x:v>age_band</x:v>
      </x:c>
    </x:row>
    <x:row r="9">
      <x:c r="A9" s="34" t="str">
        <x:v>36-45</x:v>
      </x:c>
      <x:c r="B9" s="40" t="n">
        <x:v>1393</x:v>
      </x:c>
      <x:c r="C9" s="35" t="n">
        <x:v>0.2914572864321608</x:v>
      </x:c>
      <x:c r="D9" s="35" t="n">
        <x:v>0.13854989231873654</x:v>
      </x:c>
      <x:c r="E9" s="35" t="n">
        <x:v>0.12904975361287657</x:v>
      </x:c>
      <x:c r="F9" s="46" t="n">
        <x:v>0.9439735993399835</x:v>
      </x:c>
      <x:c r="G9" s="34" t="str">
        <x:v>age_band</x:v>
      </x:c>
    </x:row>
    <x:row r="10">
      <x:c r="A10" s="34" t="str">
        <x:v>46-55</x:v>
      </x:c>
      <x:c r="B10" s="40" t="n">
        <x:v>434</x:v>
      </x:c>
      <x:c r="C10" s="35" t="n">
        <x:v>0.3087557603686636</x:v>
      </x:c>
      <x:c r="D10" s="35" t="n">
        <x:v>0.1336405529953917</x:v>
      </x:c>
      <x:c r="E10" s="35" t="n">
        <x:v>0.13505942251843986</x:v>
      </x:c>
      <x:c r="F10" s="46" t="n">
        <x:v>1</x:v>
      </x:c>
      <x:c r="G10" s="34" t="str">
        <x:v>age_band</x:v>
      </x:c>
    </x:row>
    <x:row r="11">
      <x:c r="A11" s="34" t="str">
        <x:v>56-65</x:v>
      </x:c>
      <x:c r="B11" s="40" t="n">
        <x:v>48</x:v>
      </x:c>
      <x:c r="C11" s="35" t="n">
        <x:v>0.20833333333333334</x:v>
      </x:c>
      <x:c r="D11" s="35" t="n">
        <x:v>0.125</x:v>
      </x:c>
      <x:c r="E11" s="35" t="n">
        <x:v>0.1404359752013389</x:v>
      </x:c>
      <x:c r="F11" s="46" t="n">
        <x:v>0.6747512437810945</x:v>
      </x:c>
      <x:c r="G11" s="34" t="str">
        <x:v>age_band</x:v>
      </x:c>
    </x:row>
    <x:row r="12">
      <x:c r="A12" s="34" t="str">
        <x:v>Contract</x:v>
      </x:c>
      <x:c r="B12" s="40" t="n">
        <x:v>543</x:v>
      </x:c>
      <x:c r="C12" s="35" t="n">
        <x:v>0.22099447513812154</x:v>
      </x:c>
      <x:c r="D12" s="35" t="n">
        <x:v>0.1731123388581952</x:v>
      </x:c>
      <x:c r="E12" s="35" t="n">
        <x:v>0.15754011840605422</x:v>
      </x:c>
      <x:c r="F12" s="46" t="n">
        <x:v>0.7040728504400455</x:v>
      </x:c>
      <x:c r="G12" s="34" t="str">
        <x:v>employment_type</x:v>
      </x:c>
    </x:row>
    <x:row r="13">
      <x:c r="A13" s="34" t="str">
        <x:v>Salaried</x:v>
      </x:c>
      <x:c r="B13" s="40" t="n">
        <x:v>2536</x:v>
      </x:c>
      <x:c r="C13" s="35" t="n">
        <x:v>0.3138801261829653</x:v>
      </x:c>
      <x:c r="D13" s="35" t="n">
        <x:v>0.11947949526813881</x:v>
      </x:c>
      <x:c r="E13" s="35" t="n">
        <x:v>0.12465601056610898</x:v>
      </x:c>
      <x:c r="F13" s="46" t="n">
        <x:v>1</x:v>
      </x:c>
      <x:c r="G13" s="34" t="str">
        <x:v>employment_type</x:v>
      </x:c>
    </x:row>
    <x:row r="14">
      <x:c r="A14" s="34" t="str">
        <x:v>Self-employed</x:v>
      </x:c>
      <x:c r="B14" s="40" t="n">
        <x:v>921</x:v>
      </x:c>
      <x:c r="C14" s="35" t="n">
        <x:v>0.23452768729641693</x:v>
      </x:c>
      <x:c r="D14" s="35" t="n">
        <x:v>0.15200868621064062</x:v>
      </x:c>
      <x:c r="E14" s="35" t="n">
        <x:v>0.14259453813586198</x:v>
      </x:c>
      <x:c r="F14" s="46" t="n">
        <x:v>0.7471887122910972</x:v>
      </x:c>
      <x:c r="G14" s="34" t="str">
        <x:v>employment_type</x:v>
      </x:c>
    </x:row>
    <x:row r="15">
      <x:c r="A15" s="34" t="str">
        <x:v>Branch</x:v>
      </x:c>
      <x:c r="B15" s="40" t="n">
        <x:v>690</x:v>
      </x:c>
      <x:c r="C15" s="35" t="n">
        <x:v>0.2942028985507246</x:v>
      </x:c>
      <x:c r="D15" s="35" t="n">
        <x:v>0.1246376811594203</x:v>
      </x:c>
      <x:c r="E15" s="35" t="n">
        <x:v>0.13485793021188477</x:v>
      </x:c>
      <x:c r="F15" s="46" t="n">
        <x:v>1</x:v>
      </x:c>
      <x:c r="G15" s="34" t="str">
        <x:v>channel</x:v>
      </x:c>
    </x:row>
    <x:row r="16">
      <x:c r="A16" s="34" t="str">
        <x:v>Mobile</x:v>
      </x:c>
      <x:c r="B16" s="40" t="n">
        <x:v>2315</x:v>
      </x:c>
      <x:c r="C16" s="35" t="n">
        <x:v>0.29330453563714903</x:v>
      </x:c>
      <x:c r="D16" s="35" t="n">
        <x:v>0.1287257019438445</x:v>
      </x:c>
      <x:c r="E16" s="35" t="n">
        <x:v>0.13081006235519876</x:v>
      </x:c>
      <x:c r="F16" s="46" t="n">
        <x:v>0.9969464511804573</x:v>
      </x:c>
      <x:c r="G16" s="34" t="str">
        <x:v>channel</x:v>
      </x:c>
    </x:row>
    <x:row r="17">
      <x:c r="A17" s="36" t="str">
        <x:v>Partner</x:v>
      </x:c>
      <x:c r="B17" s="41" t="n">
        <x:v>995</x:v>
      </x:c>
      <x:c r="C17" s="37" t="n">
        <x:v>0.25125628140703515</x:v>
      </x:c>
      <x:c r="D17" s="37" t="n">
        <x:v>0.15376884422110554</x:v>
      </x:c>
      <x:c r="E17" s="37" t="n">
        <x:v>0.13781329699978195</x:v>
      </x:c>
      <x:c r="F17" s="47" t="n">
        <x:v>0.8540238136495284</x:v>
      </x:c>
      <x:c r="G17" s="36" t="str">
        <x:v>channel</x:v>
      </x:c>
    </x:row>
  </x:sheetData>
  <x:mergeCells>
    <x:mergeCell ref="A2:G2"/>
    <x:mergeCell ref="A3:G3"/>
  </x:mergeCells>
  <x:conditionalFormatting sqref="F7:F17">
    <x:cfRule type="cellIs" dxfId="2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2025-01</x:v>
      </x:c>
      <x:c r="B7" s="40" t="n">
        <x:v>744</x:v>
      </x:c>
      <x:c r="C7" s="35" t="n">
        <x:v>0.15591397849462366</x:v>
      </x:c>
      <x:c r="D7" s="35" t="n">
        <x:v>0.1496212240727713</x:v>
      </x:c>
      <x:c r="E7" s="35" t="n">
        <x:v>0.2446236559139785</x:v>
      </x:c>
      <x:c r="F7" s="42" t="n">
        <x:v>521.6693548387096</x:v>
      </x:c>
    </x:row>
    <x:row r="8">
      <x:c r="A8" s="34" t="str">
        <x:v>2025-02</x:v>
      </x:c>
      <x:c r="B8" s="40" t="n">
        <x:v>672</x:v>
      </x:c>
      <x:c r="C8" s="35" t="n">
        <x:v>0.14285714285714285</x:v>
      </x:c>
      <x:c r="D8" s="35" t="n">
        <x:v>0.14093378599997403</x:v>
      </x:c>
      <x:c r="E8" s="35" t="n">
        <x:v>0.23958333333333334</x:v>
      </x:c>
      <x:c r="F8" s="42" t="n">
        <x:v>526.4151785714286</x:v>
      </x:c>
    </x:row>
    <x:row r="9">
      <x:c r="A9" s="34" t="str">
        <x:v>2025-03</x:v>
      </x:c>
      <x:c r="B9" s="40" t="n">
        <x:v>744</x:v>
      </x:c>
      <x:c r="C9" s="35" t="n">
        <x:v>0.17473118279569894</x:v>
      </x:c>
      <x:c r="D9" s="35" t="n">
        <x:v>0.14452364850070898</x:v>
      </x:c>
      <x:c r="E9" s="35" t="n">
        <x:v>0.21774193548387097</x:v>
      </x:c>
      <x:c r="F9" s="42" t="n">
        <x:v>523.7271505376344</x:v>
      </x:c>
    </x:row>
    <x:row r="10">
      <x:c r="A10" s="34" t="str">
        <x:v>2025-04</x:v>
      </x:c>
      <x:c r="B10" s="40" t="n">
        <x:v>720</x:v>
      </x:c>
      <x:c r="C10" s="35" t="n">
        <x:v>0.15</x:v>
      </x:c>
      <x:c r="D10" s="35" t="n">
        <x:v>0.15065500603717435</x:v>
      </x:c>
      <x:c r="E10" s="35" t="n">
        <x:v>0.2263888888888889</x:v>
      </x:c>
      <x:c r="F10" s="42" t="n">
        <x:v>521.0388888888889</x:v>
      </x:c>
    </x:row>
    <x:row r="11">
      <x:c r="A11" s="36" t="str">
        <x:v>2025-05</x:v>
      </x:c>
      <x:c r="B11" s="41" t="n">
        <x:v>120</x:v>
      </x:c>
      <x:c r="C11" s="37" t="n">
        <x:v>0.16666666666666666</x:v>
      </x:c>
      <x:c r="D11" s="37" t="n">
        <x:v>0.14067741962132146</x:v>
      </x:c>
      <x:c r="E11" s="37" t="n">
        <x:v>0.275</x:v>
      </x:c>
      <x:c r="F11" s="43" t="n">
        <x:v>528.1416666666667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